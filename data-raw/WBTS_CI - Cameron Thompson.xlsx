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\NERACOOS Dropbox\Cameron Thompson\MBON\"/>
    </mc:Choice>
  </mc:AlternateContent>
  <xr:revisionPtr revIDLastSave="0" documentId="13_ncr:1_{D2FA37A2-E5F7-4E8E-A7B1-C60020A71F02}" xr6:coauthVersionLast="47" xr6:coauthVersionMax="47" xr10:uidLastSave="{00000000-0000-0000-0000-000000000000}"/>
  <bookViews>
    <workbookView xWindow="-120" yWindow="-120" windowWidth="38640" windowHeight="21120" xr2:uid="{DC17F013-5CC0-406F-9AA1-A90A1BAACC81}"/>
  </bookViews>
  <sheets>
    <sheet name="data" sheetId="1" r:id="rId1"/>
  </sheets>
  <definedNames>
    <definedName name="_xlnm._FilterDatabase" localSheetId="0" hidden="1">data!$A$1:$AT$246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7" i="1" l="1"/>
  <c r="AI247" i="1"/>
  <c r="AJ247" i="1"/>
  <c r="AK247" i="1"/>
  <c r="AL247" i="1"/>
  <c r="AM247" i="1"/>
  <c r="AN247" i="1"/>
  <c r="AO247" i="1"/>
  <c r="AH248" i="1"/>
  <c r="AI248" i="1"/>
  <c r="AJ248" i="1"/>
  <c r="AK248" i="1"/>
  <c r="AL248" i="1"/>
  <c r="AM248" i="1"/>
  <c r="AN248" i="1"/>
  <c r="AO248" i="1"/>
  <c r="AH249" i="1"/>
  <c r="AI249" i="1"/>
  <c r="AJ249" i="1"/>
  <c r="AK249" i="1"/>
  <c r="AL249" i="1"/>
  <c r="AM249" i="1"/>
  <c r="AN249" i="1"/>
  <c r="AO249" i="1"/>
  <c r="AH250" i="1"/>
  <c r="AI250" i="1"/>
  <c r="AJ250" i="1"/>
  <c r="AK250" i="1"/>
  <c r="AL250" i="1"/>
  <c r="AM250" i="1"/>
  <c r="AN250" i="1"/>
  <c r="AO250" i="1"/>
  <c r="AH251" i="1"/>
  <c r="AI251" i="1"/>
  <c r="AJ251" i="1"/>
  <c r="AK251" i="1"/>
  <c r="AL251" i="1"/>
  <c r="AM251" i="1"/>
  <c r="AN251" i="1"/>
  <c r="AO251" i="1"/>
  <c r="AH252" i="1"/>
  <c r="AI252" i="1"/>
  <c r="AJ252" i="1"/>
  <c r="AK252" i="1"/>
  <c r="AL252" i="1"/>
  <c r="AM252" i="1"/>
  <c r="AN252" i="1"/>
  <c r="AO252" i="1"/>
  <c r="AH253" i="1"/>
  <c r="AI253" i="1"/>
  <c r="AJ253" i="1"/>
  <c r="AK253" i="1"/>
  <c r="AL253" i="1"/>
  <c r="AM253" i="1"/>
  <c r="AN253" i="1"/>
  <c r="AO253" i="1"/>
  <c r="AH254" i="1"/>
  <c r="AI254" i="1"/>
  <c r="AJ254" i="1"/>
  <c r="AK254" i="1"/>
  <c r="AL254" i="1"/>
  <c r="AM254" i="1"/>
  <c r="AN254" i="1"/>
  <c r="AO254" i="1"/>
  <c r="AH255" i="1"/>
  <c r="AI255" i="1"/>
  <c r="AJ255" i="1"/>
  <c r="AK255" i="1"/>
  <c r="AL255" i="1"/>
  <c r="AM255" i="1"/>
  <c r="AN255" i="1"/>
  <c r="AO255" i="1"/>
  <c r="AH246" i="1"/>
  <c r="O247" i="1"/>
  <c r="O248" i="1"/>
  <c r="O249" i="1"/>
  <c r="O250" i="1"/>
  <c r="O251" i="1"/>
  <c r="O252" i="1"/>
  <c r="O253" i="1"/>
  <c r="O254" i="1"/>
  <c r="O255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H247" i="1"/>
  <c r="G247" i="1"/>
  <c r="F247" i="1"/>
  <c r="AN246" i="1"/>
  <c r="AM246" i="1"/>
  <c r="AL246" i="1"/>
  <c r="AK246" i="1"/>
  <c r="AJ246" i="1"/>
  <c r="AI246" i="1"/>
  <c r="AN245" i="1"/>
  <c r="AM245" i="1"/>
  <c r="AL245" i="1"/>
  <c r="AK245" i="1"/>
  <c r="AJ245" i="1"/>
  <c r="AI245" i="1"/>
  <c r="AN244" i="1"/>
  <c r="AM244" i="1"/>
  <c r="AL244" i="1"/>
  <c r="AK244" i="1"/>
  <c r="AJ244" i="1"/>
  <c r="AI244" i="1"/>
  <c r="AN243" i="1"/>
  <c r="AM243" i="1"/>
  <c r="AL243" i="1"/>
  <c r="AK243" i="1"/>
  <c r="AJ243" i="1"/>
  <c r="AI243" i="1"/>
  <c r="AN242" i="1"/>
  <c r="AM242" i="1"/>
  <c r="AL242" i="1"/>
  <c r="AK242" i="1"/>
  <c r="AJ242" i="1"/>
  <c r="AI242" i="1"/>
  <c r="AN241" i="1"/>
  <c r="AM241" i="1"/>
  <c r="AL241" i="1"/>
  <c r="AK241" i="1"/>
  <c r="AJ241" i="1"/>
  <c r="AI241" i="1"/>
  <c r="AN240" i="1"/>
  <c r="AM240" i="1"/>
  <c r="AL240" i="1"/>
  <c r="AK240" i="1"/>
  <c r="AJ240" i="1"/>
  <c r="AI240" i="1"/>
  <c r="AN239" i="1"/>
  <c r="AM239" i="1"/>
  <c r="AL239" i="1"/>
  <c r="AK239" i="1"/>
  <c r="AJ239" i="1"/>
  <c r="AI239" i="1"/>
  <c r="AN238" i="1"/>
  <c r="AM238" i="1"/>
  <c r="AL238" i="1"/>
  <c r="AK238" i="1"/>
  <c r="AJ238" i="1"/>
  <c r="AI238" i="1"/>
  <c r="AN237" i="1"/>
  <c r="AM237" i="1"/>
  <c r="AL237" i="1"/>
  <c r="AK237" i="1"/>
  <c r="AJ237" i="1"/>
  <c r="AI237" i="1"/>
  <c r="AN236" i="1"/>
  <c r="AM236" i="1"/>
  <c r="AL236" i="1"/>
  <c r="AK236" i="1"/>
  <c r="AJ236" i="1"/>
  <c r="AI236" i="1"/>
  <c r="AN235" i="1"/>
  <c r="AM235" i="1"/>
  <c r="AL235" i="1"/>
  <c r="AK235" i="1"/>
  <c r="AJ235" i="1"/>
  <c r="AI235" i="1"/>
  <c r="AN234" i="1"/>
  <c r="AM234" i="1"/>
  <c r="AL234" i="1"/>
  <c r="AK234" i="1"/>
  <c r="AJ234" i="1"/>
  <c r="AI234" i="1"/>
  <c r="AN232" i="1"/>
  <c r="AM232" i="1"/>
  <c r="AL232" i="1"/>
  <c r="AK232" i="1"/>
  <c r="AJ232" i="1"/>
  <c r="AI232" i="1"/>
  <c r="AN229" i="1"/>
  <c r="AM229" i="1"/>
  <c r="AL229" i="1"/>
  <c r="AK229" i="1"/>
  <c r="AJ229" i="1"/>
  <c r="AI229" i="1"/>
  <c r="AN227" i="1"/>
  <c r="AM227" i="1"/>
  <c r="AL227" i="1"/>
  <c r="AK227" i="1"/>
  <c r="AJ227" i="1"/>
  <c r="AI227" i="1"/>
  <c r="AN226" i="1"/>
  <c r="AM226" i="1"/>
  <c r="AL226" i="1"/>
  <c r="AK226" i="1"/>
  <c r="AJ226" i="1"/>
  <c r="AI226" i="1"/>
  <c r="AN223" i="1"/>
  <c r="AM223" i="1"/>
  <c r="AL223" i="1"/>
  <c r="AK223" i="1"/>
  <c r="AJ223" i="1"/>
  <c r="AI223" i="1"/>
  <c r="AN222" i="1"/>
  <c r="AM222" i="1"/>
  <c r="AL222" i="1"/>
  <c r="AK222" i="1"/>
  <c r="AJ222" i="1"/>
  <c r="AI222" i="1"/>
  <c r="AN221" i="1"/>
  <c r="AM221" i="1"/>
  <c r="AL221" i="1"/>
  <c r="AK221" i="1"/>
  <c r="AJ221" i="1"/>
  <c r="AI221" i="1"/>
  <c r="AN220" i="1"/>
  <c r="AM220" i="1"/>
  <c r="AL220" i="1"/>
  <c r="AK220" i="1"/>
  <c r="AJ220" i="1"/>
  <c r="AI220" i="1"/>
  <c r="AN219" i="1"/>
  <c r="AM219" i="1"/>
  <c r="AL219" i="1"/>
  <c r="AK219" i="1"/>
  <c r="AJ219" i="1"/>
  <c r="AI219" i="1"/>
  <c r="AN218" i="1"/>
  <c r="AM218" i="1"/>
  <c r="AL218" i="1"/>
  <c r="AK218" i="1"/>
  <c r="AJ218" i="1"/>
  <c r="AI218" i="1"/>
  <c r="AN216" i="1"/>
  <c r="AM216" i="1"/>
  <c r="AL216" i="1"/>
  <c r="AK216" i="1"/>
  <c r="AJ216" i="1"/>
  <c r="AI216" i="1"/>
  <c r="AN215" i="1"/>
  <c r="AM215" i="1"/>
  <c r="AL215" i="1"/>
  <c r="AK215" i="1"/>
  <c r="AJ215" i="1"/>
  <c r="AI215" i="1"/>
  <c r="AN213" i="1"/>
  <c r="AM213" i="1"/>
  <c r="AL213" i="1"/>
  <c r="AK213" i="1"/>
  <c r="AJ213" i="1"/>
  <c r="AI213" i="1"/>
  <c r="AN211" i="1"/>
  <c r="AM211" i="1"/>
  <c r="AL211" i="1"/>
  <c r="AK211" i="1"/>
  <c r="AJ211" i="1"/>
  <c r="AI211" i="1"/>
  <c r="AN209" i="1"/>
  <c r="AM209" i="1"/>
  <c r="AL209" i="1"/>
  <c r="AK209" i="1"/>
  <c r="AJ209" i="1"/>
  <c r="AI209" i="1"/>
  <c r="AN207" i="1"/>
  <c r="AM207" i="1"/>
  <c r="AL207" i="1"/>
  <c r="AK207" i="1"/>
  <c r="AJ207" i="1"/>
  <c r="AI207" i="1"/>
  <c r="AN206" i="1"/>
  <c r="AM206" i="1"/>
  <c r="AL206" i="1"/>
  <c r="AK206" i="1"/>
  <c r="AJ206" i="1"/>
  <c r="AI206" i="1"/>
  <c r="AN203" i="1"/>
  <c r="AM203" i="1"/>
  <c r="AL203" i="1"/>
  <c r="AK203" i="1"/>
  <c r="AJ203" i="1"/>
  <c r="AI203" i="1"/>
  <c r="AN201" i="1"/>
  <c r="AM201" i="1"/>
  <c r="AL201" i="1"/>
  <c r="AK201" i="1"/>
  <c r="AJ201" i="1"/>
  <c r="AI201" i="1"/>
  <c r="AN200" i="1"/>
  <c r="AM200" i="1"/>
  <c r="AL200" i="1"/>
  <c r="AK200" i="1"/>
  <c r="AJ200" i="1"/>
  <c r="AI200" i="1"/>
  <c r="AN197" i="1"/>
  <c r="AM197" i="1"/>
  <c r="AL197" i="1"/>
  <c r="AK197" i="1"/>
  <c r="AJ197" i="1"/>
  <c r="AI197" i="1"/>
  <c r="AN195" i="1"/>
  <c r="AM195" i="1"/>
  <c r="AL195" i="1"/>
  <c r="AK195" i="1"/>
  <c r="AJ195" i="1"/>
  <c r="AI195" i="1"/>
  <c r="AN193" i="1"/>
  <c r="AM193" i="1"/>
  <c r="AL193" i="1"/>
  <c r="AK193" i="1"/>
  <c r="AJ193" i="1"/>
  <c r="AI193" i="1"/>
  <c r="AN191" i="1"/>
  <c r="AM191" i="1"/>
  <c r="AL191" i="1"/>
  <c r="AK191" i="1"/>
  <c r="AJ191" i="1"/>
  <c r="AI191" i="1"/>
  <c r="AN190" i="1"/>
  <c r="AM190" i="1"/>
  <c r="AL190" i="1"/>
  <c r="AK190" i="1"/>
  <c r="AJ190" i="1"/>
  <c r="AI190" i="1"/>
  <c r="AN189" i="1"/>
  <c r="AM189" i="1"/>
  <c r="AL189" i="1"/>
  <c r="AK189" i="1"/>
  <c r="AJ189" i="1"/>
  <c r="AI189" i="1"/>
  <c r="AN187" i="1"/>
  <c r="AM187" i="1"/>
  <c r="AL187" i="1"/>
  <c r="AK187" i="1"/>
  <c r="AJ187" i="1"/>
  <c r="AI187" i="1"/>
  <c r="AN186" i="1"/>
  <c r="AM186" i="1"/>
  <c r="AL186" i="1"/>
  <c r="AK186" i="1"/>
  <c r="AJ186" i="1"/>
  <c r="AI186" i="1"/>
  <c r="AN185" i="1"/>
  <c r="AM185" i="1"/>
  <c r="AL185" i="1"/>
  <c r="AK185" i="1"/>
  <c r="AJ185" i="1"/>
  <c r="AI185" i="1"/>
  <c r="AN184" i="1"/>
  <c r="AM184" i="1"/>
  <c r="AL184" i="1"/>
  <c r="AK184" i="1"/>
  <c r="AJ184" i="1"/>
  <c r="AI184" i="1"/>
  <c r="AN181" i="1"/>
  <c r="AM181" i="1"/>
  <c r="AL181" i="1"/>
  <c r="AK181" i="1"/>
  <c r="AJ181" i="1"/>
  <c r="AI181" i="1"/>
  <c r="AN179" i="1"/>
  <c r="AM179" i="1"/>
  <c r="AL179" i="1"/>
  <c r="AK179" i="1"/>
  <c r="AJ179" i="1"/>
  <c r="AI179" i="1"/>
  <c r="AN178" i="1"/>
  <c r="AM178" i="1"/>
  <c r="AL178" i="1"/>
  <c r="AK178" i="1"/>
  <c r="AJ178" i="1"/>
  <c r="AI178" i="1"/>
  <c r="AN176" i="1"/>
  <c r="AM176" i="1"/>
  <c r="AL176" i="1"/>
  <c r="AK176" i="1"/>
  <c r="AJ176" i="1"/>
  <c r="AI176" i="1"/>
  <c r="AN174" i="1"/>
  <c r="AM174" i="1"/>
  <c r="AL174" i="1"/>
  <c r="AK174" i="1"/>
  <c r="AJ174" i="1"/>
  <c r="AI174" i="1"/>
  <c r="AN171" i="1"/>
  <c r="AM171" i="1"/>
  <c r="AL171" i="1"/>
  <c r="AK171" i="1"/>
  <c r="AJ171" i="1"/>
  <c r="AI171" i="1"/>
  <c r="AN169" i="1"/>
  <c r="AM169" i="1"/>
  <c r="AL169" i="1"/>
  <c r="AK169" i="1"/>
  <c r="AJ169" i="1"/>
  <c r="AI169" i="1"/>
  <c r="AN167" i="1"/>
  <c r="AM167" i="1"/>
  <c r="AL167" i="1"/>
  <c r="AK167" i="1"/>
  <c r="AJ167" i="1"/>
  <c r="AI167" i="1"/>
  <c r="AN165" i="1"/>
  <c r="AM165" i="1"/>
  <c r="AL165" i="1"/>
  <c r="AK165" i="1"/>
  <c r="AJ165" i="1"/>
  <c r="AI165" i="1"/>
  <c r="AN164" i="1"/>
  <c r="AM164" i="1"/>
  <c r="AL164" i="1"/>
  <c r="AK164" i="1"/>
  <c r="AJ164" i="1"/>
  <c r="AI164" i="1"/>
  <c r="AN162" i="1"/>
  <c r="AM162" i="1"/>
  <c r="AL162" i="1"/>
  <c r="AK162" i="1"/>
  <c r="AJ162" i="1"/>
  <c r="AI162" i="1"/>
  <c r="AN159" i="1"/>
  <c r="AM159" i="1"/>
  <c r="AL159" i="1"/>
  <c r="AK159" i="1"/>
  <c r="AJ159" i="1"/>
  <c r="AI159" i="1"/>
  <c r="AN157" i="1"/>
  <c r="AM157" i="1"/>
  <c r="AL157" i="1"/>
  <c r="AK157" i="1"/>
  <c r="AJ157" i="1"/>
  <c r="AI157" i="1"/>
  <c r="AN156" i="1"/>
  <c r="AM156" i="1"/>
  <c r="AL156" i="1"/>
  <c r="AK156" i="1"/>
  <c r="AJ156" i="1"/>
  <c r="AI156" i="1"/>
  <c r="AN154" i="1"/>
  <c r="AM154" i="1"/>
  <c r="AL154" i="1"/>
  <c r="AK154" i="1"/>
  <c r="AJ154" i="1"/>
  <c r="AI154" i="1"/>
  <c r="AN152" i="1"/>
  <c r="AM152" i="1"/>
  <c r="AL152" i="1"/>
  <c r="AK152" i="1"/>
  <c r="AJ152" i="1"/>
  <c r="AI152" i="1"/>
  <c r="AN151" i="1"/>
  <c r="AM151" i="1"/>
  <c r="AL151" i="1"/>
  <c r="AK151" i="1"/>
  <c r="AJ151" i="1"/>
  <c r="AI151" i="1"/>
  <c r="AN149" i="1"/>
  <c r="AM149" i="1"/>
  <c r="AL149" i="1"/>
  <c r="AK149" i="1"/>
  <c r="AJ149" i="1"/>
  <c r="AI149" i="1"/>
  <c r="AN148" i="1"/>
  <c r="AM148" i="1"/>
  <c r="AL148" i="1"/>
  <c r="AK148" i="1"/>
  <c r="AJ148" i="1"/>
  <c r="AI148" i="1"/>
  <c r="AN147" i="1"/>
  <c r="AM147" i="1"/>
  <c r="AL147" i="1"/>
  <c r="AK147" i="1"/>
  <c r="AJ147" i="1"/>
  <c r="AI147" i="1"/>
  <c r="AN142" i="1"/>
  <c r="AM142" i="1"/>
  <c r="AL142" i="1"/>
  <c r="AK142" i="1"/>
  <c r="AJ142" i="1"/>
  <c r="AI142" i="1"/>
  <c r="AN140" i="1"/>
  <c r="AM140" i="1"/>
  <c r="AL140" i="1"/>
  <c r="AK140" i="1"/>
  <c r="AJ140" i="1"/>
  <c r="AI140" i="1"/>
  <c r="AN138" i="1"/>
  <c r="AM138" i="1"/>
  <c r="AL138" i="1"/>
  <c r="AK138" i="1"/>
  <c r="AJ138" i="1"/>
  <c r="AI138" i="1"/>
  <c r="AN132" i="1"/>
  <c r="AM132" i="1"/>
  <c r="AL132" i="1"/>
  <c r="AK132" i="1"/>
  <c r="AJ132" i="1"/>
  <c r="AI132" i="1"/>
  <c r="AN130" i="1"/>
  <c r="AM130" i="1"/>
  <c r="AL130" i="1"/>
  <c r="AK130" i="1"/>
  <c r="AJ130" i="1"/>
  <c r="AI130" i="1"/>
  <c r="AN129" i="1"/>
  <c r="AM129" i="1"/>
  <c r="AL129" i="1"/>
  <c r="AK129" i="1"/>
  <c r="AJ129" i="1"/>
  <c r="AI129" i="1"/>
  <c r="AN126" i="1"/>
  <c r="AM126" i="1"/>
  <c r="AL126" i="1"/>
  <c r="AK126" i="1"/>
  <c r="AJ126" i="1"/>
  <c r="AI126" i="1"/>
  <c r="AN124" i="1"/>
  <c r="AM124" i="1"/>
  <c r="AL124" i="1"/>
  <c r="AK124" i="1"/>
  <c r="AJ124" i="1"/>
  <c r="AI124" i="1"/>
  <c r="AN123" i="1"/>
  <c r="AM123" i="1"/>
  <c r="AL123" i="1"/>
  <c r="AK123" i="1"/>
  <c r="AJ123" i="1"/>
  <c r="AI123" i="1"/>
  <c r="AN121" i="1"/>
  <c r="AM121" i="1"/>
  <c r="AL121" i="1"/>
  <c r="AK121" i="1"/>
  <c r="AJ121" i="1"/>
  <c r="AI121" i="1"/>
  <c r="AN120" i="1"/>
  <c r="AM120" i="1"/>
  <c r="AL120" i="1"/>
  <c r="AK120" i="1"/>
  <c r="AJ120" i="1"/>
  <c r="AI120" i="1"/>
  <c r="AN116" i="1"/>
  <c r="AM116" i="1"/>
  <c r="AL116" i="1"/>
  <c r="AK116" i="1"/>
  <c r="AJ116" i="1"/>
  <c r="AI116" i="1"/>
  <c r="AN115" i="1"/>
  <c r="AM115" i="1"/>
  <c r="AL115" i="1"/>
  <c r="AK115" i="1"/>
  <c r="AJ115" i="1"/>
  <c r="AI115" i="1"/>
  <c r="AN113" i="1"/>
  <c r="AM113" i="1"/>
  <c r="AL113" i="1"/>
  <c r="AK113" i="1"/>
  <c r="AJ113" i="1"/>
  <c r="AI113" i="1"/>
  <c r="AN112" i="1"/>
  <c r="AM112" i="1"/>
  <c r="AL112" i="1"/>
  <c r="AK112" i="1"/>
  <c r="AJ112" i="1"/>
  <c r="AI112" i="1"/>
  <c r="AN109" i="1"/>
  <c r="AM109" i="1"/>
  <c r="AL109" i="1"/>
  <c r="AK109" i="1"/>
  <c r="AJ109" i="1"/>
  <c r="AI109" i="1"/>
  <c r="AN107" i="1"/>
  <c r="AM107" i="1"/>
  <c r="AL107" i="1"/>
  <c r="AK107" i="1"/>
  <c r="AJ107" i="1"/>
  <c r="AI107" i="1"/>
  <c r="AN106" i="1"/>
  <c r="AM106" i="1"/>
  <c r="AL106" i="1"/>
  <c r="AK106" i="1"/>
  <c r="AJ106" i="1"/>
  <c r="AI106" i="1"/>
  <c r="AN105" i="1"/>
  <c r="AM105" i="1"/>
  <c r="AL105" i="1"/>
  <c r="AK105" i="1"/>
  <c r="AJ105" i="1"/>
  <c r="AI105" i="1"/>
  <c r="AN104" i="1"/>
  <c r="AM104" i="1"/>
  <c r="AL104" i="1"/>
  <c r="AK104" i="1"/>
  <c r="AJ104" i="1"/>
  <c r="AI104" i="1"/>
  <c r="AN102" i="1"/>
  <c r="AM102" i="1"/>
  <c r="AL102" i="1"/>
  <c r="AK102" i="1"/>
  <c r="AJ102" i="1"/>
  <c r="AI102" i="1"/>
  <c r="AN101" i="1"/>
  <c r="AM101" i="1"/>
  <c r="AL101" i="1"/>
  <c r="AK101" i="1"/>
  <c r="AJ101" i="1"/>
  <c r="AI101" i="1"/>
  <c r="AN99" i="1"/>
  <c r="AM99" i="1"/>
  <c r="AL99" i="1"/>
  <c r="AK99" i="1"/>
  <c r="AJ99" i="1"/>
  <c r="AI99" i="1"/>
  <c r="AN97" i="1"/>
  <c r="AM97" i="1"/>
  <c r="AL97" i="1"/>
  <c r="AK97" i="1"/>
  <c r="AJ97" i="1"/>
  <c r="AI97" i="1"/>
  <c r="AN95" i="1"/>
  <c r="AM95" i="1"/>
  <c r="AL95" i="1"/>
  <c r="AK95" i="1"/>
  <c r="AJ95" i="1"/>
  <c r="AI95" i="1"/>
  <c r="AN94" i="1"/>
  <c r="AM94" i="1"/>
  <c r="AL94" i="1"/>
  <c r="AK94" i="1"/>
  <c r="AJ94" i="1"/>
  <c r="AI94" i="1"/>
  <c r="AN92" i="1"/>
  <c r="AM92" i="1"/>
  <c r="AL92" i="1"/>
  <c r="AK92" i="1"/>
  <c r="AJ92" i="1"/>
  <c r="AI92" i="1"/>
  <c r="AN86" i="1"/>
  <c r="AM86" i="1"/>
  <c r="AL86" i="1"/>
  <c r="AK86" i="1"/>
  <c r="AJ86" i="1"/>
  <c r="AI86" i="1"/>
  <c r="AN85" i="1"/>
  <c r="AM85" i="1"/>
  <c r="AL85" i="1"/>
  <c r="AK85" i="1"/>
  <c r="AJ85" i="1"/>
  <c r="AI85" i="1"/>
  <c r="AN83" i="1"/>
  <c r="AM83" i="1"/>
  <c r="AL83" i="1"/>
  <c r="AK83" i="1"/>
  <c r="AJ83" i="1"/>
  <c r="AI83" i="1"/>
  <c r="AN81" i="1"/>
  <c r="AM81" i="1"/>
  <c r="AL81" i="1"/>
  <c r="AK81" i="1"/>
  <c r="AJ81" i="1"/>
  <c r="AI81" i="1"/>
  <c r="AN80" i="1"/>
  <c r="AM80" i="1"/>
  <c r="AL80" i="1"/>
  <c r="AK80" i="1"/>
  <c r="AJ80" i="1"/>
  <c r="AI80" i="1"/>
  <c r="AN72" i="1"/>
  <c r="AM72" i="1"/>
  <c r="AL72" i="1"/>
  <c r="AK72" i="1"/>
  <c r="AJ72" i="1"/>
  <c r="AI72" i="1"/>
  <c r="AN68" i="1"/>
  <c r="AM68" i="1"/>
  <c r="AL68" i="1"/>
  <c r="AK68" i="1"/>
  <c r="AJ68" i="1"/>
  <c r="AI68" i="1"/>
  <c r="AN66" i="1"/>
  <c r="AM66" i="1"/>
  <c r="AL66" i="1"/>
  <c r="AK66" i="1"/>
  <c r="AJ66" i="1"/>
  <c r="AI66" i="1"/>
  <c r="AN63" i="1"/>
  <c r="AM63" i="1"/>
  <c r="AL63" i="1"/>
  <c r="AK63" i="1"/>
  <c r="AJ63" i="1"/>
  <c r="AI63" i="1"/>
  <c r="AN61" i="1"/>
  <c r="AM61" i="1"/>
  <c r="AL61" i="1"/>
  <c r="AK61" i="1"/>
  <c r="AJ61" i="1"/>
  <c r="AI61" i="1"/>
  <c r="AN59" i="1"/>
  <c r="AM59" i="1"/>
  <c r="AL59" i="1"/>
  <c r="AK59" i="1"/>
  <c r="AJ59" i="1"/>
  <c r="AI59" i="1"/>
  <c r="AN58" i="1"/>
  <c r="AM58" i="1"/>
  <c r="AL58" i="1"/>
  <c r="AK58" i="1"/>
  <c r="AJ58" i="1"/>
  <c r="AI58" i="1"/>
  <c r="AN57" i="1"/>
  <c r="AM57" i="1"/>
  <c r="AL57" i="1"/>
  <c r="AK57" i="1"/>
  <c r="AJ57" i="1"/>
  <c r="AI57" i="1"/>
  <c r="AN55" i="1"/>
  <c r="AM55" i="1"/>
  <c r="AL55" i="1"/>
  <c r="AK55" i="1"/>
  <c r="AJ55" i="1"/>
  <c r="AI55" i="1"/>
  <c r="AN54" i="1"/>
  <c r="AM54" i="1"/>
  <c r="AL54" i="1"/>
  <c r="AK54" i="1"/>
  <c r="AJ54" i="1"/>
  <c r="AI54" i="1"/>
  <c r="AN52" i="1"/>
  <c r="AM52" i="1"/>
  <c r="AL52" i="1"/>
  <c r="AK52" i="1"/>
  <c r="AJ52" i="1"/>
  <c r="AI52" i="1"/>
  <c r="AN50" i="1"/>
  <c r="AM50" i="1"/>
  <c r="AL50" i="1"/>
  <c r="AK50" i="1"/>
  <c r="AJ50" i="1"/>
  <c r="AI50" i="1"/>
  <c r="AN49" i="1"/>
  <c r="AM49" i="1"/>
  <c r="AL49" i="1"/>
  <c r="AK49" i="1"/>
  <c r="AJ49" i="1"/>
  <c r="AI49" i="1"/>
  <c r="AN48" i="1"/>
  <c r="AM48" i="1"/>
  <c r="AL48" i="1"/>
  <c r="AK48" i="1"/>
  <c r="AJ48" i="1"/>
  <c r="AI48" i="1"/>
  <c r="AN47" i="1"/>
  <c r="AM47" i="1"/>
  <c r="AL47" i="1"/>
  <c r="AK47" i="1"/>
  <c r="AJ47" i="1"/>
  <c r="AI47" i="1"/>
  <c r="AN46" i="1"/>
  <c r="AM46" i="1"/>
  <c r="AL46" i="1"/>
  <c r="AK46" i="1"/>
  <c r="AJ46" i="1"/>
  <c r="AI46" i="1"/>
  <c r="AN45" i="1"/>
  <c r="AM45" i="1"/>
  <c r="AL45" i="1"/>
  <c r="AK45" i="1"/>
  <c r="AJ45" i="1"/>
  <c r="AI45" i="1"/>
  <c r="AN42" i="1"/>
  <c r="AM42" i="1"/>
  <c r="AL42" i="1"/>
  <c r="AK42" i="1"/>
  <c r="AJ42" i="1"/>
  <c r="AI42" i="1"/>
  <c r="AN41" i="1"/>
  <c r="AM41" i="1"/>
  <c r="AL41" i="1"/>
  <c r="AK41" i="1"/>
  <c r="AJ41" i="1"/>
  <c r="AI41" i="1"/>
  <c r="AN39" i="1"/>
  <c r="AM39" i="1"/>
  <c r="AL39" i="1"/>
  <c r="AK39" i="1"/>
  <c r="AJ39" i="1"/>
  <c r="AI39" i="1"/>
  <c r="AN37" i="1"/>
  <c r="AM37" i="1"/>
  <c r="AL37" i="1"/>
  <c r="AK37" i="1"/>
  <c r="AJ37" i="1"/>
  <c r="AI37" i="1"/>
  <c r="AN35" i="1"/>
  <c r="AM35" i="1"/>
  <c r="AL35" i="1"/>
  <c r="AK35" i="1"/>
  <c r="AJ35" i="1"/>
  <c r="AI35" i="1"/>
  <c r="AN33" i="1"/>
  <c r="AM33" i="1"/>
  <c r="AL33" i="1"/>
  <c r="AK33" i="1"/>
  <c r="AJ33" i="1"/>
  <c r="AI33" i="1"/>
  <c r="AN31" i="1"/>
  <c r="AM31" i="1"/>
  <c r="AL31" i="1"/>
  <c r="AK31" i="1"/>
  <c r="AJ31" i="1"/>
  <c r="AI31" i="1"/>
  <c r="AN28" i="1"/>
  <c r="AM28" i="1"/>
  <c r="AL28" i="1"/>
  <c r="AK28" i="1"/>
  <c r="AJ28" i="1"/>
  <c r="AI28" i="1"/>
  <c r="AN26" i="1"/>
  <c r="AM26" i="1"/>
  <c r="AL26" i="1"/>
  <c r="AK26" i="1"/>
  <c r="AJ26" i="1"/>
  <c r="AI26" i="1"/>
  <c r="AN25" i="1"/>
  <c r="AM25" i="1"/>
  <c r="AL25" i="1"/>
  <c r="AK25" i="1"/>
  <c r="AJ25" i="1"/>
  <c r="AI25" i="1"/>
  <c r="AN23" i="1"/>
  <c r="AM23" i="1"/>
  <c r="AL23" i="1"/>
  <c r="AK23" i="1"/>
  <c r="AJ23" i="1"/>
  <c r="AI23" i="1"/>
  <c r="AN21" i="1"/>
  <c r="AM21" i="1"/>
  <c r="AL21" i="1"/>
  <c r="AK21" i="1"/>
  <c r="AJ21" i="1"/>
  <c r="AI21" i="1"/>
  <c r="AN20" i="1"/>
  <c r="AM20" i="1"/>
  <c r="AL20" i="1"/>
  <c r="AK20" i="1"/>
  <c r="AJ20" i="1"/>
  <c r="AI20" i="1"/>
  <c r="AN18" i="1"/>
  <c r="AM18" i="1"/>
  <c r="AL18" i="1"/>
  <c r="AK18" i="1"/>
  <c r="AJ18" i="1"/>
  <c r="AI18" i="1"/>
  <c r="AN16" i="1"/>
  <c r="AM16" i="1"/>
  <c r="AL16" i="1"/>
  <c r="AK16" i="1"/>
  <c r="AJ16" i="1"/>
  <c r="AI16" i="1"/>
  <c r="AN13" i="1"/>
  <c r="AM13" i="1"/>
  <c r="AL13" i="1"/>
  <c r="AK13" i="1"/>
  <c r="AJ13" i="1"/>
  <c r="AI13" i="1"/>
  <c r="AN12" i="1"/>
  <c r="AM12" i="1"/>
  <c r="AL12" i="1"/>
  <c r="AK12" i="1"/>
  <c r="AJ12" i="1"/>
  <c r="AI12" i="1"/>
  <c r="AN10" i="1"/>
  <c r="AM10" i="1"/>
  <c r="AL10" i="1"/>
  <c r="AK10" i="1"/>
  <c r="AJ10" i="1"/>
  <c r="AI10" i="1"/>
  <c r="AN9" i="1"/>
  <c r="AM9" i="1"/>
  <c r="AL9" i="1"/>
  <c r="AK9" i="1"/>
  <c r="AJ9" i="1"/>
  <c r="AI9" i="1"/>
  <c r="AN7" i="1"/>
  <c r="AM7" i="1"/>
  <c r="AL7" i="1"/>
  <c r="AK7" i="1"/>
  <c r="AJ7" i="1"/>
  <c r="AI7" i="1"/>
  <c r="AN4" i="1"/>
  <c r="AM4" i="1"/>
  <c r="AL4" i="1"/>
  <c r="AK4" i="1"/>
  <c r="AJ4" i="1"/>
  <c r="AH4" i="1"/>
  <c r="AI4" i="1"/>
  <c r="AO4" i="1"/>
  <c r="AH243" i="1"/>
  <c r="AO243" i="1"/>
  <c r="AH244" i="1"/>
  <c r="AO244" i="1"/>
  <c r="AH245" i="1"/>
  <c r="AO245" i="1"/>
  <c r="AO246" i="1"/>
  <c r="O246" i="1"/>
  <c r="O245" i="1"/>
  <c r="O244" i="1"/>
  <c r="O243" i="1"/>
  <c r="AH242" i="1"/>
  <c r="AO242" i="1"/>
  <c r="AH241" i="1"/>
  <c r="AO241" i="1"/>
  <c r="AH240" i="1"/>
  <c r="AO240" i="1"/>
  <c r="AH239" i="1"/>
  <c r="AO239" i="1"/>
  <c r="AH238" i="1"/>
  <c r="AO238" i="1"/>
  <c r="AH237" i="1"/>
  <c r="AO237" i="1"/>
  <c r="AH236" i="1"/>
  <c r="AO236" i="1"/>
  <c r="AH235" i="1"/>
  <c r="AO235" i="1"/>
  <c r="AH234" i="1"/>
  <c r="AO234" i="1"/>
  <c r="AH232" i="1"/>
  <c r="AO232" i="1"/>
  <c r="AH229" i="1"/>
  <c r="AO229" i="1"/>
  <c r="AH227" i="1"/>
  <c r="AO227" i="1"/>
  <c r="AH226" i="1"/>
  <c r="AO226" i="1"/>
  <c r="AH223" i="1"/>
  <c r="AO223" i="1"/>
  <c r="AH222" i="1"/>
  <c r="AO222" i="1"/>
  <c r="AH221" i="1"/>
  <c r="AO221" i="1"/>
  <c r="AH220" i="1"/>
  <c r="AO220" i="1"/>
  <c r="AH219" i="1"/>
  <c r="AO219" i="1"/>
  <c r="AH218" i="1"/>
  <c r="AO218" i="1"/>
  <c r="AH216" i="1"/>
  <c r="AO216" i="1"/>
  <c r="AH215" i="1"/>
  <c r="AO215" i="1"/>
  <c r="AH213" i="1"/>
  <c r="AO213" i="1"/>
  <c r="AH211" i="1"/>
  <c r="AO211" i="1"/>
  <c r="AH209" i="1"/>
  <c r="AO209" i="1"/>
  <c r="AH207" i="1"/>
  <c r="AO207" i="1"/>
  <c r="AH206" i="1"/>
  <c r="AO206" i="1"/>
  <c r="AH203" i="1"/>
  <c r="AO203" i="1"/>
  <c r="AH201" i="1"/>
  <c r="AO201" i="1"/>
  <c r="AH200" i="1"/>
  <c r="AO200" i="1"/>
  <c r="AH197" i="1"/>
  <c r="AO197" i="1"/>
  <c r="AH195" i="1"/>
  <c r="AO195" i="1"/>
  <c r="AH193" i="1"/>
  <c r="AO193" i="1"/>
  <c r="AH191" i="1"/>
  <c r="AO191" i="1"/>
  <c r="AH190" i="1"/>
  <c r="AO190" i="1"/>
  <c r="AH189" i="1"/>
  <c r="AO189" i="1"/>
  <c r="AH187" i="1"/>
  <c r="AO187" i="1"/>
  <c r="AH186" i="1"/>
  <c r="AO186" i="1"/>
  <c r="AH185" i="1"/>
  <c r="AO185" i="1"/>
  <c r="AH184" i="1"/>
  <c r="AO184" i="1"/>
  <c r="AH181" i="1"/>
  <c r="AO181" i="1"/>
  <c r="AH179" i="1"/>
  <c r="AO179" i="1"/>
  <c r="AH178" i="1"/>
  <c r="AO178" i="1"/>
  <c r="AH176" i="1"/>
  <c r="AO176" i="1"/>
  <c r="AH174" i="1"/>
  <c r="AO174" i="1"/>
  <c r="AH171" i="1"/>
  <c r="AO171" i="1"/>
  <c r="AH169" i="1"/>
  <c r="AO169" i="1"/>
  <c r="AH167" i="1"/>
  <c r="AO167" i="1"/>
  <c r="AH165" i="1"/>
  <c r="AO165" i="1"/>
  <c r="AH164" i="1"/>
  <c r="AO164" i="1"/>
  <c r="AH162" i="1"/>
  <c r="AO162" i="1"/>
  <c r="AH159" i="1"/>
  <c r="AO159" i="1"/>
  <c r="AH157" i="1"/>
  <c r="AO157" i="1"/>
  <c r="AH156" i="1"/>
  <c r="AO156" i="1"/>
  <c r="AH154" i="1"/>
  <c r="AO154" i="1"/>
  <c r="AH152" i="1"/>
  <c r="AO152" i="1"/>
  <c r="AH151" i="1"/>
  <c r="AO151" i="1"/>
  <c r="AH149" i="1"/>
  <c r="AO149" i="1"/>
  <c r="AH148" i="1"/>
  <c r="AO148" i="1"/>
  <c r="AH147" i="1"/>
  <c r="AO147" i="1"/>
  <c r="AH142" i="1"/>
  <c r="AO142" i="1"/>
  <c r="AH140" i="1"/>
  <c r="AO140" i="1"/>
  <c r="AH138" i="1"/>
  <c r="AO138" i="1"/>
  <c r="AH132" i="1"/>
  <c r="AO132" i="1"/>
  <c r="AH130" i="1"/>
  <c r="AO130" i="1"/>
  <c r="AH129" i="1"/>
  <c r="AO129" i="1"/>
  <c r="AH126" i="1"/>
  <c r="AO126" i="1"/>
  <c r="AH124" i="1"/>
  <c r="AO124" i="1"/>
  <c r="AH123" i="1"/>
  <c r="AO123" i="1"/>
  <c r="AH121" i="1"/>
  <c r="AO121" i="1"/>
  <c r="AH120" i="1"/>
  <c r="AO120" i="1"/>
  <c r="AH116" i="1"/>
  <c r="AO116" i="1"/>
  <c r="AH115" i="1"/>
  <c r="AO115" i="1"/>
  <c r="AH113" i="1"/>
  <c r="AO113" i="1"/>
  <c r="AH112" i="1"/>
  <c r="AO112" i="1"/>
  <c r="AH109" i="1"/>
  <c r="AO109" i="1"/>
  <c r="AH107" i="1"/>
  <c r="AO107" i="1"/>
  <c r="AH106" i="1"/>
  <c r="AO106" i="1"/>
  <c r="AH105" i="1"/>
  <c r="AO105" i="1"/>
  <c r="AH104" i="1"/>
  <c r="AO104" i="1"/>
  <c r="AH102" i="1"/>
  <c r="AO102" i="1"/>
  <c r="AH101" i="1"/>
  <c r="AO101" i="1"/>
  <c r="AH99" i="1"/>
  <c r="AO99" i="1"/>
  <c r="AH97" i="1"/>
  <c r="AO97" i="1"/>
  <c r="AH95" i="1"/>
  <c r="AO95" i="1"/>
  <c r="AH94" i="1"/>
  <c r="AO94" i="1"/>
  <c r="AH92" i="1"/>
  <c r="AO92" i="1"/>
  <c r="AH86" i="1"/>
  <c r="AO86" i="1"/>
  <c r="AH85" i="1"/>
  <c r="AO85" i="1"/>
  <c r="AH83" i="1"/>
  <c r="AO83" i="1"/>
  <c r="AH81" i="1"/>
  <c r="AO81" i="1"/>
  <c r="AH80" i="1"/>
  <c r="AO80" i="1"/>
  <c r="AH72" i="1"/>
  <c r="AO72" i="1"/>
  <c r="AH68" i="1"/>
  <c r="AO68" i="1"/>
  <c r="AH66" i="1"/>
  <c r="AO66" i="1"/>
  <c r="AH63" i="1"/>
  <c r="AO63" i="1"/>
  <c r="AH61" i="1"/>
  <c r="AO61" i="1"/>
  <c r="AH59" i="1"/>
  <c r="AO59" i="1"/>
  <c r="AH58" i="1"/>
  <c r="AO58" i="1"/>
  <c r="AH57" i="1"/>
  <c r="AO57" i="1"/>
  <c r="AH55" i="1"/>
  <c r="AO55" i="1"/>
  <c r="AH54" i="1"/>
  <c r="AO54" i="1"/>
  <c r="AH52" i="1"/>
  <c r="AO52" i="1"/>
  <c r="AH50" i="1"/>
  <c r="AO50" i="1"/>
  <c r="AH49" i="1"/>
  <c r="AO49" i="1"/>
  <c r="AH48" i="1"/>
  <c r="AO48" i="1"/>
  <c r="AH47" i="1"/>
  <c r="AO47" i="1"/>
  <c r="AH46" i="1"/>
  <c r="AO46" i="1"/>
  <c r="AH45" i="1"/>
  <c r="AO45" i="1"/>
  <c r="AH42" i="1"/>
  <c r="AO42" i="1"/>
  <c r="AH41" i="1"/>
  <c r="AO41" i="1"/>
  <c r="AH39" i="1"/>
  <c r="AO39" i="1"/>
  <c r="AH37" i="1"/>
  <c r="AO37" i="1"/>
  <c r="AH35" i="1"/>
  <c r="AO35" i="1"/>
  <c r="AH33" i="1"/>
  <c r="AO33" i="1"/>
  <c r="AH31" i="1"/>
  <c r="AO31" i="1"/>
  <c r="AH28" i="1"/>
  <c r="AO28" i="1"/>
  <c r="AH26" i="1"/>
  <c r="AO26" i="1"/>
  <c r="AH25" i="1"/>
  <c r="AO25" i="1"/>
  <c r="AH23" i="1"/>
  <c r="AO23" i="1"/>
  <c r="AH21" i="1"/>
  <c r="AO21" i="1"/>
  <c r="AH20" i="1"/>
  <c r="AO20" i="1"/>
  <c r="AH18" i="1"/>
  <c r="AO18" i="1"/>
  <c r="AH16" i="1"/>
  <c r="AO16" i="1"/>
  <c r="AH13" i="1"/>
  <c r="AO13" i="1"/>
  <c r="AH12" i="1"/>
  <c r="AO12" i="1"/>
  <c r="AH10" i="1"/>
  <c r="AO10" i="1"/>
  <c r="AH9" i="1"/>
  <c r="AO9" i="1"/>
  <c r="AH7" i="1"/>
  <c r="AO7" i="1"/>
  <c r="U242" i="1"/>
  <c r="U240" i="1"/>
  <c r="U241" i="1"/>
  <c r="AG241" i="1"/>
  <c r="AG242" i="1"/>
  <c r="AG240" i="1"/>
  <c r="AG239" i="1"/>
  <c r="AG238" i="1"/>
  <c r="AG237" i="1"/>
  <c r="AG236" i="1"/>
  <c r="AG235" i="1"/>
  <c r="AG234" i="1"/>
  <c r="AG232" i="1"/>
  <c r="AG229" i="1"/>
  <c r="AG227" i="1"/>
  <c r="AG226" i="1"/>
  <c r="AG223" i="1"/>
  <c r="AG222" i="1"/>
  <c r="AG221" i="1"/>
  <c r="AG220" i="1"/>
  <c r="O242" i="1"/>
  <c r="O241" i="1"/>
  <c r="O240" i="1"/>
  <c r="O239" i="1"/>
  <c r="O238" i="1"/>
  <c r="O237" i="1"/>
  <c r="O236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AG216" i="1"/>
  <c r="AG215" i="1"/>
  <c r="AG213" i="1"/>
  <c r="AG211" i="1"/>
  <c r="AG209" i="1"/>
  <c r="AG207" i="1"/>
  <c r="AG206" i="1"/>
  <c r="AG203" i="1"/>
  <c r="AG201" i="1"/>
  <c r="AG200" i="1"/>
  <c r="AG197" i="1"/>
  <c r="AG195" i="1"/>
  <c r="AG193" i="1"/>
  <c r="AG191" i="1"/>
  <c r="AG190" i="1"/>
  <c r="AG189" i="1"/>
  <c r="AG187" i="1"/>
  <c r="AG186" i="1"/>
  <c r="AG185" i="1"/>
  <c r="AG184" i="1"/>
  <c r="AG181" i="1"/>
  <c r="AG179" i="1"/>
  <c r="AG178" i="1"/>
  <c r="AG176" i="1"/>
  <c r="AG174" i="1"/>
  <c r="AG171" i="1"/>
  <c r="AG169" i="1"/>
  <c r="AG167" i="1"/>
  <c r="AG165" i="1"/>
  <c r="AG164" i="1"/>
  <c r="AG162" i="1"/>
  <c r="AG159" i="1"/>
  <c r="AG157" i="1"/>
  <c r="AG156" i="1"/>
  <c r="AG154" i="1"/>
  <c r="AG152" i="1"/>
  <c r="AG151" i="1"/>
  <c r="AG149" i="1"/>
  <c r="AG148" i="1"/>
  <c r="AG147" i="1"/>
  <c r="AG142" i="1"/>
  <c r="AG140" i="1"/>
  <c r="AG138" i="1"/>
  <c r="AG132" i="1"/>
  <c r="AG130" i="1"/>
  <c r="AG129" i="1"/>
  <c r="AG126" i="1"/>
  <c r="AG124" i="1"/>
  <c r="AG123" i="1"/>
  <c r="AG121" i="1"/>
  <c r="AG120" i="1"/>
  <c r="AG116" i="1"/>
  <c r="AG115" i="1"/>
  <c r="AG113" i="1"/>
  <c r="AG112" i="1"/>
  <c r="AG109" i="1"/>
  <c r="AG107" i="1"/>
  <c r="AG106" i="1"/>
  <c r="AG105" i="1"/>
  <c r="AG104" i="1"/>
  <c r="AG102" i="1"/>
  <c r="AG101" i="1"/>
  <c r="AG99" i="1"/>
  <c r="AG97" i="1"/>
  <c r="AG95" i="1"/>
  <c r="AG94" i="1"/>
  <c r="AG92" i="1"/>
  <c r="AG86" i="1"/>
  <c r="AG85" i="1"/>
  <c r="AG83" i="1"/>
  <c r="AG81" i="1"/>
  <c r="AG80" i="1"/>
  <c r="AG72" i="1"/>
  <c r="AG68" i="1"/>
  <c r="AG66" i="1"/>
  <c r="AG63" i="1"/>
  <c r="AG61" i="1"/>
  <c r="AG59" i="1"/>
  <c r="AG58" i="1"/>
  <c r="AG57" i="1"/>
  <c r="AG55" i="1"/>
  <c r="AG54" i="1"/>
  <c r="AG52" i="1"/>
  <c r="AG50" i="1"/>
  <c r="AG49" i="1"/>
  <c r="AG48" i="1"/>
  <c r="AG47" i="1"/>
  <c r="AG46" i="1"/>
  <c r="AG45" i="1"/>
  <c r="AG42" i="1"/>
  <c r="AG41" i="1"/>
  <c r="AG39" i="1"/>
  <c r="AG37" i="1"/>
  <c r="AG35" i="1"/>
  <c r="AG33" i="1"/>
  <c r="AG31" i="1"/>
  <c r="AG28" i="1"/>
  <c r="AG26" i="1"/>
  <c r="AG25" i="1"/>
  <c r="AG23" i="1"/>
  <c r="AG21" i="1"/>
  <c r="AG20" i="1"/>
  <c r="AG18" i="1"/>
  <c r="AG16" i="1"/>
  <c r="AG13" i="1"/>
  <c r="AG12" i="1"/>
  <c r="AG10" i="1"/>
  <c r="AG9" i="1"/>
  <c r="AG7" i="1"/>
  <c r="AG4" i="1"/>
  <c r="S216" i="1"/>
  <c r="H216" i="1"/>
  <c r="S215" i="1"/>
  <c r="H215" i="1"/>
  <c r="S213" i="1"/>
  <c r="H213" i="1"/>
  <c r="S211" i="1"/>
  <c r="H211" i="1"/>
  <c r="G211" i="1"/>
  <c r="F211" i="1"/>
  <c r="S209" i="1"/>
  <c r="H209" i="1"/>
  <c r="G209" i="1"/>
  <c r="F209" i="1"/>
  <c r="W207" i="1"/>
  <c r="S207" i="1"/>
  <c r="H207" i="1"/>
  <c r="G207" i="1"/>
  <c r="F207" i="1"/>
  <c r="W206" i="1"/>
  <c r="S206" i="1"/>
  <c r="V206" i="1"/>
  <c r="H206" i="1"/>
  <c r="G206" i="1"/>
  <c r="F206" i="1"/>
  <c r="S205" i="1"/>
  <c r="V205" i="1"/>
  <c r="H205" i="1"/>
  <c r="G205" i="1"/>
  <c r="F205" i="1"/>
  <c r="S204" i="1"/>
  <c r="V204" i="1"/>
  <c r="H204" i="1"/>
  <c r="G204" i="1"/>
  <c r="F204" i="1"/>
  <c r="S203" i="1"/>
  <c r="V203" i="1"/>
  <c r="H203" i="1"/>
  <c r="G203" i="1"/>
  <c r="F203" i="1"/>
  <c r="S202" i="1"/>
  <c r="V202" i="1"/>
  <c r="H202" i="1"/>
  <c r="G202" i="1"/>
  <c r="F202" i="1"/>
  <c r="S201" i="1"/>
  <c r="V201" i="1"/>
  <c r="H201" i="1"/>
  <c r="G201" i="1"/>
  <c r="F201" i="1"/>
  <c r="S200" i="1"/>
  <c r="V200" i="1"/>
  <c r="H200" i="1"/>
  <c r="G200" i="1"/>
  <c r="F200" i="1"/>
  <c r="S199" i="1"/>
  <c r="V199" i="1"/>
  <c r="H199" i="1"/>
  <c r="G199" i="1"/>
  <c r="F199" i="1"/>
  <c r="S198" i="1"/>
  <c r="V198" i="1"/>
  <c r="H198" i="1"/>
  <c r="G198" i="1"/>
  <c r="F198" i="1"/>
  <c r="S197" i="1"/>
  <c r="V197" i="1"/>
  <c r="H197" i="1"/>
  <c r="G197" i="1"/>
  <c r="F197" i="1"/>
  <c r="S196" i="1"/>
  <c r="V196" i="1"/>
  <c r="H196" i="1"/>
  <c r="G196" i="1"/>
  <c r="F196" i="1"/>
  <c r="W195" i="1"/>
  <c r="S195" i="1"/>
  <c r="V195" i="1"/>
  <c r="H195" i="1"/>
  <c r="G195" i="1"/>
  <c r="F195" i="1"/>
  <c r="S194" i="1"/>
  <c r="V194" i="1"/>
  <c r="H194" i="1"/>
  <c r="G194" i="1"/>
  <c r="F194" i="1"/>
  <c r="S193" i="1"/>
  <c r="V193" i="1"/>
  <c r="H193" i="1"/>
  <c r="G193" i="1"/>
  <c r="F193" i="1"/>
  <c r="S192" i="1"/>
  <c r="V192" i="1"/>
  <c r="H192" i="1"/>
  <c r="G192" i="1"/>
  <c r="F192" i="1"/>
  <c r="W191" i="1"/>
  <c r="S191" i="1"/>
  <c r="V191" i="1"/>
  <c r="H191" i="1"/>
  <c r="G191" i="1"/>
  <c r="F191" i="1"/>
  <c r="S190" i="1"/>
  <c r="V190" i="1"/>
  <c r="H190" i="1"/>
  <c r="G190" i="1"/>
  <c r="F190" i="1"/>
  <c r="S189" i="1"/>
  <c r="V189" i="1"/>
  <c r="H189" i="1"/>
  <c r="G189" i="1"/>
  <c r="F189" i="1"/>
  <c r="S188" i="1"/>
  <c r="V188" i="1"/>
  <c r="H188" i="1"/>
  <c r="G188" i="1"/>
  <c r="F188" i="1"/>
  <c r="W187" i="1"/>
  <c r="S187" i="1"/>
  <c r="V187" i="1"/>
  <c r="H187" i="1"/>
  <c r="G187" i="1"/>
  <c r="F187" i="1"/>
  <c r="S186" i="1"/>
  <c r="V186" i="1"/>
  <c r="H186" i="1"/>
  <c r="G186" i="1"/>
  <c r="F186" i="1"/>
  <c r="S185" i="1"/>
  <c r="H185" i="1"/>
  <c r="G185" i="1"/>
  <c r="F185" i="1"/>
  <c r="W184" i="1"/>
  <c r="S184" i="1"/>
  <c r="V184" i="1"/>
  <c r="H184" i="1"/>
  <c r="G184" i="1"/>
  <c r="F184" i="1"/>
  <c r="S183" i="1"/>
  <c r="V183" i="1"/>
  <c r="H183" i="1"/>
  <c r="G183" i="1"/>
  <c r="F183" i="1"/>
  <c r="S182" i="1"/>
  <c r="V182" i="1"/>
  <c r="H182" i="1"/>
  <c r="G182" i="1"/>
  <c r="F182" i="1"/>
  <c r="V181" i="1"/>
  <c r="H181" i="1"/>
  <c r="G181" i="1"/>
  <c r="F181" i="1"/>
  <c r="V180" i="1"/>
  <c r="H180" i="1"/>
  <c r="G180" i="1"/>
  <c r="F180" i="1"/>
  <c r="V179" i="1"/>
  <c r="H179" i="1"/>
  <c r="G179" i="1"/>
  <c r="F179" i="1"/>
  <c r="V178" i="1"/>
  <c r="H178" i="1"/>
  <c r="G178" i="1"/>
  <c r="F178" i="1"/>
  <c r="V177" i="1"/>
  <c r="H177" i="1"/>
  <c r="G177" i="1"/>
  <c r="F177" i="1"/>
  <c r="V176" i="1"/>
  <c r="H176" i="1"/>
  <c r="G176" i="1"/>
  <c r="F176" i="1"/>
  <c r="V175" i="1"/>
  <c r="H175" i="1"/>
  <c r="G175" i="1"/>
  <c r="F175" i="1"/>
  <c r="V174" i="1"/>
  <c r="H174" i="1"/>
  <c r="G174" i="1"/>
  <c r="F174" i="1"/>
  <c r="V173" i="1"/>
  <c r="H173" i="1"/>
  <c r="G173" i="1"/>
  <c r="F173" i="1"/>
  <c r="V172" i="1"/>
  <c r="H172" i="1"/>
  <c r="G172" i="1"/>
  <c r="F172" i="1"/>
  <c r="V171" i="1"/>
  <c r="H171" i="1"/>
  <c r="G171" i="1"/>
  <c r="F171" i="1"/>
  <c r="V170" i="1"/>
  <c r="H170" i="1"/>
  <c r="G170" i="1"/>
  <c r="F170" i="1"/>
  <c r="V169" i="1"/>
  <c r="H169" i="1"/>
  <c r="G169" i="1"/>
  <c r="F169" i="1"/>
  <c r="V168" i="1"/>
  <c r="H168" i="1"/>
  <c r="G168" i="1"/>
  <c r="F168" i="1"/>
  <c r="V167" i="1"/>
  <c r="H167" i="1"/>
  <c r="G167" i="1"/>
  <c r="F167" i="1"/>
  <c r="V166" i="1"/>
  <c r="H166" i="1"/>
  <c r="G166" i="1"/>
  <c r="F166" i="1"/>
  <c r="V165" i="1"/>
  <c r="H165" i="1"/>
  <c r="G165" i="1"/>
  <c r="F165" i="1"/>
  <c r="V164" i="1"/>
  <c r="H164" i="1"/>
  <c r="G164" i="1"/>
  <c r="F164" i="1"/>
  <c r="V163" i="1"/>
  <c r="H163" i="1"/>
  <c r="G163" i="1"/>
  <c r="F163" i="1"/>
  <c r="V162" i="1"/>
  <c r="H162" i="1"/>
  <c r="G162" i="1"/>
  <c r="F162" i="1"/>
  <c r="V161" i="1"/>
  <c r="H161" i="1"/>
  <c r="G161" i="1"/>
  <c r="F161" i="1"/>
  <c r="V160" i="1"/>
  <c r="H160" i="1"/>
  <c r="G160" i="1"/>
  <c r="F160" i="1"/>
  <c r="V159" i="1"/>
  <c r="H159" i="1"/>
  <c r="G159" i="1"/>
  <c r="F159" i="1"/>
  <c r="V158" i="1"/>
  <c r="H158" i="1"/>
  <c r="G158" i="1"/>
  <c r="F158" i="1"/>
  <c r="V157" i="1"/>
  <c r="H157" i="1"/>
  <c r="G157" i="1"/>
  <c r="F157" i="1"/>
  <c r="V156" i="1"/>
  <c r="H156" i="1"/>
  <c r="G156" i="1"/>
  <c r="F156" i="1"/>
  <c r="V155" i="1"/>
  <c r="H155" i="1"/>
  <c r="G155" i="1"/>
  <c r="F155" i="1"/>
  <c r="V154" i="1"/>
  <c r="H154" i="1"/>
  <c r="G154" i="1"/>
  <c r="F154" i="1"/>
  <c r="V153" i="1"/>
  <c r="H153" i="1"/>
  <c r="G153" i="1"/>
  <c r="F153" i="1"/>
  <c r="V152" i="1"/>
  <c r="H152" i="1"/>
  <c r="G152" i="1"/>
  <c r="F152" i="1"/>
  <c r="V151" i="1"/>
  <c r="H151" i="1"/>
  <c r="G151" i="1"/>
  <c r="F151" i="1"/>
  <c r="V150" i="1"/>
  <c r="H150" i="1"/>
  <c r="G150" i="1"/>
  <c r="F150" i="1"/>
  <c r="V149" i="1"/>
  <c r="H149" i="1"/>
  <c r="G149" i="1"/>
  <c r="F149" i="1"/>
  <c r="V148" i="1"/>
  <c r="H148" i="1"/>
  <c r="G148" i="1"/>
  <c r="F148" i="1"/>
  <c r="V147" i="1"/>
  <c r="H147" i="1"/>
  <c r="G147" i="1"/>
  <c r="F147" i="1"/>
  <c r="H146" i="1"/>
  <c r="G146" i="1"/>
  <c r="F146" i="1"/>
  <c r="V145" i="1"/>
  <c r="H145" i="1"/>
  <c r="G145" i="1"/>
  <c r="F145" i="1"/>
  <c r="V144" i="1"/>
  <c r="H144" i="1"/>
  <c r="G144" i="1"/>
  <c r="F144" i="1"/>
  <c r="H143" i="1"/>
  <c r="G143" i="1"/>
  <c r="F143" i="1"/>
  <c r="V142" i="1"/>
  <c r="H142" i="1"/>
  <c r="G142" i="1"/>
  <c r="F142" i="1"/>
  <c r="H141" i="1"/>
  <c r="G141" i="1"/>
  <c r="F141" i="1"/>
  <c r="V140" i="1"/>
  <c r="H140" i="1"/>
  <c r="G140" i="1"/>
  <c r="F140" i="1"/>
  <c r="V139" i="1"/>
  <c r="H139" i="1"/>
  <c r="G139" i="1"/>
  <c r="F139" i="1"/>
  <c r="V138" i="1"/>
  <c r="H138" i="1"/>
  <c r="G138" i="1"/>
  <c r="F138" i="1"/>
  <c r="H137" i="1"/>
  <c r="G137" i="1"/>
  <c r="F137" i="1"/>
  <c r="V136" i="1"/>
  <c r="H136" i="1"/>
  <c r="G136" i="1"/>
  <c r="F136" i="1"/>
  <c r="H135" i="1"/>
  <c r="G135" i="1"/>
  <c r="F135" i="1"/>
  <c r="V134" i="1"/>
  <c r="H134" i="1"/>
  <c r="G134" i="1"/>
  <c r="F134" i="1"/>
  <c r="H133" i="1"/>
  <c r="G133" i="1"/>
  <c r="F133" i="1"/>
  <c r="V132" i="1"/>
  <c r="H132" i="1"/>
  <c r="G132" i="1"/>
  <c r="F132" i="1"/>
  <c r="V131" i="1"/>
  <c r="H131" i="1"/>
  <c r="G131" i="1"/>
  <c r="F131" i="1"/>
  <c r="V130" i="1"/>
  <c r="H130" i="1"/>
  <c r="G130" i="1"/>
  <c r="F130" i="1"/>
  <c r="V129" i="1"/>
  <c r="H129" i="1"/>
  <c r="G129" i="1"/>
  <c r="F129" i="1"/>
  <c r="H128" i="1"/>
  <c r="G128" i="1"/>
  <c r="F128" i="1"/>
  <c r="H127" i="1"/>
  <c r="G127" i="1"/>
  <c r="F127" i="1"/>
  <c r="V126" i="1"/>
  <c r="H126" i="1"/>
  <c r="G126" i="1"/>
  <c r="F126" i="1"/>
  <c r="V125" i="1"/>
  <c r="H125" i="1"/>
  <c r="G125" i="1"/>
  <c r="F125" i="1"/>
  <c r="V124" i="1"/>
  <c r="H124" i="1"/>
  <c r="G124" i="1"/>
  <c r="F124" i="1"/>
  <c r="V123" i="1"/>
  <c r="H123" i="1"/>
  <c r="G123" i="1"/>
  <c r="F123" i="1"/>
  <c r="V122" i="1"/>
  <c r="H122" i="1"/>
  <c r="G122" i="1"/>
  <c r="F122" i="1"/>
  <c r="V121" i="1"/>
  <c r="H121" i="1"/>
  <c r="G121" i="1"/>
  <c r="F121" i="1"/>
  <c r="V120" i="1"/>
  <c r="H120" i="1"/>
  <c r="G120" i="1"/>
  <c r="F120" i="1"/>
  <c r="V119" i="1"/>
  <c r="H119" i="1"/>
  <c r="G119" i="1"/>
  <c r="F119" i="1"/>
  <c r="V118" i="1"/>
  <c r="H118" i="1"/>
  <c r="G118" i="1"/>
  <c r="F118" i="1"/>
  <c r="H117" i="1"/>
  <c r="G117" i="1"/>
  <c r="F117" i="1"/>
  <c r="V116" i="1"/>
  <c r="H116" i="1"/>
  <c r="G116" i="1"/>
  <c r="F116" i="1"/>
  <c r="V115" i="1"/>
  <c r="H115" i="1"/>
  <c r="G115" i="1"/>
  <c r="F115" i="1"/>
  <c r="H114" i="1"/>
  <c r="G114" i="1"/>
  <c r="F114" i="1"/>
  <c r="V113" i="1"/>
  <c r="H113" i="1"/>
  <c r="G113" i="1"/>
  <c r="F113" i="1"/>
  <c r="V112" i="1"/>
  <c r="H112" i="1"/>
  <c r="G112" i="1"/>
  <c r="F112" i="1"/>
  <c r="H111" i="1"/>
  <c r="G111" i="1"/>
  <c r="F111" i="1"/>
  <c r="V110" i="1"/>
  <c r="H110" i="1"/>
  <c r="G110" i="1"/>
  <c r="F110" i="1"/>
  <c r="V109" i="1"/>
  <c r="H109" i="1"/>
  <c r="G109" i="1"/>
  <c r="F109" i="1"/>
  <c r="H108" i="1"/>
  <c r="G108" i="1"/>
  <c r="F108" i="1"/>
  <c r="V107" i="1"/>
  <c r="H107" i="1"/>
  <c r="G107" i="1"/>
  <c r="F107" i="1"/>
  <c r="V106" i="1"/>
  <c r="H106" i="1"/>
  <c r="G106" i="1"/>
  <c r="F106" i="1"/>
  <c r="V105" i="1"/>
  <c r="H105" i="1"/>
  <c r="G105" i="1"/>
  <c r="F105" i="1"/>
  <c r="H104" i="1"/>
  <c r="G104" i="1"/>
  <c r="F104" i="1"/>
  <c r="H103" i="1"/>
  <c r="G103" i="1"/>
  <c r="F103" i="1"/>
  <c r="V102" i="1"/>
  <c r="H102" i="1"/>
  <c r="G102" i="1"/>
  <c r="F102" i="1"/>
  <c r="V101" i="1"/>
  <c r="H101" i="1"/>
  <c r="G101" i="1"/>
  <c r="F101" i="1"/>
  <c r="H100" i="1"/>
  <c r="G100" i="1"/>
  <c r="F100" i="1"/>
  <c r="H99" i="1"/>
  <c r="G99" i="1"/>
  <c r="F99" i="1"/>
  <c r="H98" i="1"/>
  <c r="G98" i="1"/>
  <c r="F98" i="1"/>
  <c r="V97" i="1"/>
  <c r="H97" i="1"/>
  <c r="G97" i="1"/>
  <c r="F97" i="1"/>
  <c r="H96" i="1"/>
  <c r="G96" i="1"/>
  <c r="F96" i="1"/>
  <c r="V95" i="1"/>
  <c r="H95" i="1"/>
  <c r="G95" i="1"/>
  <c r="F95" i="1"/>
  <c r="V94" i="1"/>
  <c r="H94" i="1"/>
  <c r="G94" i="1"/>
  <c r="F94" i="1"/>
  <c r="H93" i="1"/>
  <c r="G93" i="1"/>
  <c r="F93" i="1"/>
  <c r="V92" i="1"/>
  <c r="H92" i="1"/>
  <c r="G92" i="1"/>
  <c r="F92" i="1"/>
  <c r="V91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V86" i="1"/>
  <c r="H86" i="1"/>
  <c r="G86" i="1"/>
  <c r="F86" i="1"/>
  <c r="V85" i="1"/>
  <c r="H85" i="1"/>
  <c r="G85" i="1"/>
  <c r="F85" i="1"/>
  <c r="H84" i="1"/>
  <c r="G84" i="1"/>
  <c r="F84" i="1"/>
  <c r="V83" i="1"/>
  <c r="H83" i="1"/>
  <c r="G83" i="1"/>
  <c r="F83" i="1"/>
  <c r="H82" i="1"/>
  <c r="G82" i="1"/>
  <c r="F82" i="1"/>
  <c r="V81" i="1"/>
  <c r="H81" i="1"/>
  <c r="G81" i="1"/>
  <c r="F81" i="1"/>
  <c r="V80" i="1"/>
  <c r="H80" i="1"/>
  <c r="G80" i="1"/>
  <c r="F80" i="1"/>
  <c r="U79" i="1"/>
  <c r="V79" i="1"/>
  <c r="H79" i="1"/>
  <c r="G79" i="1"/>
  <c r="F79" i="1"/>
  <c r="V78" i="1"/>
  <c r="H78" i="1"/>
  <c r="G78" i="1"/>
  <c r="F78" i="1"/>
  <c r="V77" i="1"/>
  <c r="H77" i="1"/>
  <c r="G77" i="1"/>
  <c r="F77" i="1"/>
  <c r="V76" i="1"/>
  <c r="H76" i="1"/>
  <c r="G76" i="1"/>
  <c r="F76" i="1"/>
  <c r="V75" i="1"/>
  <c r="H75" i="1"/>
  <c r="G75" i="1"/>
  <c r="F75" i="1"/>
  <c r="V74" i="1"/>
  <c r="H74" i="1"/>
  <c r="G74" i="1"/>
  <c r="F74" i="1"/>
  <c r="V73" i="1"/>
  <c r="H73" i="1"/>
  <c r="G73" i="1"/>
  <c r="F73" i="1"/>
  <c r="V72" i="1"/>
  <c r="H72" i="1"/>
  <c r="G72" i="1"/>
  <c r="F72" i="1"/>
  <c r="V71" i="1"/>
  <c r="H71" i="1"/>
  <c r="G71" i="1"/>
  <c r="F71" i="1"/>
  <c r="V70" i="1"/>
  <c r="H70" i="1"/>
  <c r="G70" i="1"/>
  <c r="F70" i="1"/>
  <c r="V69" i="1"/>
  <c r="H69" i="1"/>
  <c r="G69" i="1"/>
  <c r="F69" i="1"/>
  <c r="V68" i="1"/>
  <c r="H68" i="1"/>
  <c r="G68" i="1"/>
  <c r="F68" i="1"/>
  <c r="V67" i="1"/>
  <c r="H67" i="1"/>
  <c r="G67" i="1"/>
  <c r="F67" i="1"/>
  <c r="V66" i="1"/>
  <c r="H66" i="1"/>
  <c r="G66" i="1"/>
  <c r="F66" i="1"/>
  <c r="V65" i="1"/>
  <c r="H65" i="1"/>
  <c r="G65" i="1"/>
  <c r="F65" i="1"/>
  <c r="V64" i="1"/>
  <c r="H64" i="1"/>
  <c r="G64" i="1"/>
  <c r="F64" i="1"/>
  <c r="H63" i="1"/>
  <c r="G63" i="1"/>
  <c r="F63" i="1"/>
  <c r="V62" i="1"/>
  <c r="H62" i="1"/>
  <c r="G62" i="1"/>
  <c r="F62" i="1"/>
  <c r="V61" i="1"/>
  <c r="H61" i="1"/>
  <c r="G61" i="1"/>
  <c r="F61" i="1"/>
  <c r="V60" i="1"/>
  <c r="H60" i="1"/>
  <c r="G60" i="1"/>
  <c r="F60" i="1"/>
  <c r="V59" i="1"/>
  <c r="H59" i="1"/>
  <c r="G59" i="1"/>
  <c r="F59" i="1"/>
  <c r="V58" i="1"/>
  <c r="H58" i="1"/>
  <c r="G58" i="1"/>
  <c r="F58" i="1"/>
  <c r="V57" i="1"/>
  <c r="H57" i="1"/>
  <c r="G57" i="1"/>
  <c r="F57" i="1"/>
  <c r="V56" i="1"/>
  <c r="H56" i="1"/>
  <c r="G56" i="1"/>
  <c r="F56" i="1"/>
  <c r="V55" i="1"/>
  <c r="H55" i="1"/>
  <c r="G55" i="1"/>
  <c r="F55" i="1"/>
  <c r="V54" i="1"/>
  <c r="H54" i="1"/>
  <c r="G54" i="1"/>
  <c r="F54" i="1"/>
  <c r="V53" i="1"/>
  <c r="H53" i="1"/>
  <c r="G53" i="1"/>
  <c r="F53" i="1"/>
  <c r="V52" i="1"/>
  <c r="H52" i="1"/>
  <c r="G52" i="1"/>
  <c r="F52" i="1"/>
  <c r="V51" i="1"/>
  <c r="H51" i="1"/>
  <c r="G51" i="1"/>
  <c r="F51" i="1"/>
  <c r="V50" i="1"/>
  <c r="H50" i="1"/>
  <c r="G50" i="1"/>
  <c r="F50" i="1"/>
  <c r="V49" i="1"/>
  <c r="H49" i="1"/>
  <c r="G49" i="1"/>
  <c r="F49" i="1"/>
  <c r="V48" i="1"/>
  <c r="H48" i="1"/>
  <c r="G48" i="1"/>
  <c r="F48" i="1"/>
  <c r="V47" i="1"/>
  <c r="H47" i="1"/>
  <c r="G47" i="1"/>
  <c r="F47" i="1"/>
  <c r="V46" i="1"/>
  <c r="H46" i="1"/>
  <c r="G46" i="1"/>
  <c r="F46" i="1"/>
  <c r="V45" i="1"/>
  <c r="H45" i="1"/>
  <c r="G45" i="1"/>
  <c r="F45" i="1"/>
  <c r="V44" i="1"/>
  <c r="H44" i="1"/>
  <c r="G44" i="1"/>
  <c r="F44" i="1"/>
  <c r="V43" i="1"/>
  <c r="H43" i="1"/>
  <c r="G43" i="1"/>
  <c r="F43" i="1"/>
  <c r="V42" i="1"/>
  <c r="H42" i="1"/>
  <c r="G42" i="1"/>
  <c r="F42" i="1"/>
  <c r="V41" i="1"/>
  <c r="H41" i="1"/>
  <c r="G41" i="1"/>
  <c r="F41" i="1"/>
  <c r="V40" i="1"/>
  <c r="H40" i="1"/>
  <c r="G40" i="1"/>
  <c r="F40" i="1"/>
  <c r="V39" i="1"/>
  <c r="H39" i="1"/>
  <c r="G39" i="1"/>
  <c r="F39" i="1"/>
  <c r="V38" i="1"/>
  <c r="H38" i="1"/>
  <c r="G38" i="1"/>
  <c r="F38" i="1"/>
  <c r="V37" i="1"/>
  <c r="H37" i="1"/>
  <c r="G37" i="1"/>
  <c r="F37" i="1"/>
  <c r="V36" i="1"/>
  <c r="H36" i="1"/>
  <c r="G36" i="1"/>
  <c r="F36" i="1"/>
  <c r="V35" i="1"/>
  <c r="H35" i="1"/>
  <c r="G35" i="1"/>
  <c r="F35" i="1"/>
  <c r="V34" i="1"/>
  <c r="H34" i="1"/>
  <c r="G34" i="1"/>
  <c r="F34" i="1"/>
  <c r="V33" i="1"/>
  <c r="H33" i="1"/>
  <c r="G33" i="1"/>
  <c r="F33" i="1"/>
  <c r="V32" i="1"/>
  <c r="H32" i="1"/>
  <c r="G32" i="1"/>
  <c r="F32" i="1"/>
  <c r="V31" i="1"/>
  <c r="H31" i="1"/>
  <c r="G31" i="1"/>
  <c r="F31" i="1"/>
  <c r="V30" i="1"/>
  <c r="H30" i="1"/>
  <c r="G30" i="1"/>
  <c r="F30" i="1"/>
  <c r="V29" i="1"/>
  <c r="H29" i="1"/>
  <c r="G29" i="1"/>
  <c r="F29" i="1"/>
  <c r="V28" i="1"/>
  <c r="H28" i="1"/>
  <c r="G28" i="1"/>
  <c r="F28" i="1"/>
  <c r="V27" i="1"/>
  <c r="H27" i="1"/>
  <c r="G27" i="1"/>
  <c r="F27" i="1"/>
  <c r="V26" i="1"/>
  <c r="H26" i="1"/>
  <c r="G26" i="1"/>
  <c r="F26" i="1"/>
  <c r="V25" i="1"/>
  <c r="H25" i="1"/>
  <c r="G25" i="1"/>
  <c r="F25" i="1"/>
  <c r="V24" i="1"/>
  <c r="H24" i="1"/>
  <c r="G24" i="1"/>
  <c r="F24" i="1"/>
  <c r="V23" i="1"/>
  <c r="H23" i="1"/>
  <c r="G23" i="1"/>
  <c r="F23" i="1"/>
  <c r="V22" i="1"/>
  <c r="H22" i="1"/>
  <c r="G22" i="1"/>
  <c r="F22" i="1"/>
  <c r="V21" i="1"/>
  <c r="H21" i="1"/>
  <c r="G21" i="1"/>
  <c r="F21" i="1"/>
  <c r="V20" i="1"/>
  <c r="H20" i="1"/>
  <c r="G20" i="1"/>
  <c r="F20" i="1"/>
  <c r="V19" i="1"/>
  <c r="H19" i="1"/>
  <c r="G19" i="1"/>
  <c r="F19" i="1"/>
  <c r="V18" i="1"/>
  <c r="H18" i="1"/>
  <c r="G18" i="1"/>
  <c r="F18" i="1"/>
  <c r="V17" i="1"/>
  <c r="H17" i="1"/>
  <c r="G17" i="1"/>
  <c r="F17" i="1"/>
  <c r="V16" i="1"/>
  <c r="H16" i="1"/>
  <c r="G16" i="1"/>
  <c r="F16" i="1"/>
  <c r="V15" i="1"/>
  <c r="H15" i="1"/>
  <c r="G15" i="1"/>
  <c r="F15" i="1"/>
  <c r="V14" i="1"/>
  <c r="H14" i="1"/>
  <c r="G14" i="1"/>
  <c r="F14" i="1"/>
  <c r="V13" i="1"/>
  <c r="H13" i="1"/>
  <c r="G13" i="1"/>
  <c r="F13" i="1"/>
  <c r="V11" i="1"/>
  <c r="H11" i="1"/>
  <c r="G11" i="1"/>
  <c r="F11" i="1"/>
  <c r="V10" i="1"/>
  <c r="H10" i="1"/>
  <c r="G10" i="1"/>
  <c r="F10" i="1"/>
  <c r="V9" i="1"/>
  <c r="H9" i="1"/>
  <c r="G9" i="1"/>
  <c r="F9" i="1"/>
  <c r="V8" i="1"/>
  <c r="H8" i="1"/>
  <c r="G8" i="1"/>
  <c r="F8" i="1"/>
  <c r="V7" i="1"/>
  <c r="H7" i="1"/>
  <c r="G7" i="1"/>
  <c r="F7" i="1"/>
  <c r="V6" i="1"/>
  <c r="H6" i="1"/>
  <c r="G6" i="1"/>
  <c r="F6" i="1"/>
  <c r="V5" i="1"/>
  <c r="H5" i="1"/>
  <c r="G5" i="1"/>
  <c r="F5" i="1"/>
  <c r="V4" i="1"/>
  <c r="H4" i="1"/>
  <c r="G4" i="1"/>
  <c r="F4" i="1"/>
  <c r="V3" i="1"/>
  <c r="H3" i="1"/>
  <c r="G3" i="1"/>
  <c r="F3" i="1"/>
  <c r="V2" i="1"/>
  <c r="H2" i="1"/>
  <c r="G2" i="1"/>
  <c r="F2" i="1"/>
</calcChain>
</file>

<file path=xl/sharedStrings.xml><?xml version="1.0" encoding="utf-8"?>
<sst xmlns="http://schemas.openxmlformats.org/spreadsheetml/2006/main" count="1265" uniqueCount="385">
  <si>
    <t>KEY</t>
  </si>
  <si>
    <t>CRUISE_ID</t>
  </si>
  <si>
    <t>STATION</t>
  </si>
  <si>
    <t>DATE</t>
  </si>
  <si>
    <t>MONTH</t>
  </si>
  <si>
    <t>DAY</t>
  </si>
  <si>
    <t xml:space="preserve"> YEAR</t>
  </si>
  <si>
    <t>TIME (LOCAL)</t>
  </si>
  <si>
    <t>LAT (DECIMAL)</t>
  </si>
  <si>
    <t>LON (DECIMAL)</t>
  </si>
  <si>
    <t>CAST</t>
  </si>
  <si>
    <t>NET_ID</t>
  </si>
  <si>
    <t>MESH</t>
  </si>
  <si>
    <t>NET DEPTH</t>
  </si>
  <si>
    <t>STATION DEPTH</t>
  </si>
  <si>
    <t>COMMENT</t>
  </si>
  <si>
    <t>NET AREA</t>
  </si>
  <si>
    <t>VOL_FILT</t>
  </si>
  <si>
    <t>SPLIT</t>
  </si>
  <si>
    <t>SAMP DW(G)</t>
  </si>
  <si>
    <t>DW          (G M-2)</t>
  </si>
  <si>
    <t>TOTAL DILFACTOR (CFIN)</t>
  </si>
  <si>
    <t>Calanus finmarchicus N</t>
  </si>
  <si>
    <t>Calanus finmarchicus CI</t>
  </si>
  <si>
    <t>Calanus finmarchicus CII</t>
  </si>
  <si>
    <t>Calanus finmarchicus CIII</t>
  </si>
  <si>
    <t>Calanus finmarchicus CIV</t>
  </si>
  <si>
    <t>Calanus finmarchicus CV</t>
  </si>
  <si>
    <t>Calanus finmarchicus F</t>
  </si>
  <si>
    <t>Calanus finmarchicus M</t>
  </si>
  <si>
    <t>GC120604WBWB-71</t>
  </si>
  <si>
    <t>GC120604WB</t>
  </si>
  <si>
    <t>.75DRing</t>
  </si>
  <si>
    <t>GC120604WBWB-72</t>
  </si>
  <si>
    <t>GC013005WBWB-71</t>
  </si>
  <si>
    <t>GC013005WB</t>
  </si>
  <si>
    <t>GC013005WBWB-72</t>
  </si>
  <si>
    <t>GC021405WBWB-71</t>
  </si>
  <si>
    <t>GC021405WB</t>
  </si>
  <si>
    <t>GC021405WBWB-72</t>
  </si>
  <si>
    <t>GC031805WBWB-71</t>
  </si>
  <si>
    <t>GC031805WB</t>
  </si>
  <si>
    <t>GC031805WBWB-72</t>
  </si>
  <si>
    <t>GC040605WBWB-71</t>
  </si>
  <si>
    <t>GC040605WB</t>
  </si>
  <si>
    <t>GC040605WBWB-72</t>
  </si>
  <si>
    <t>GC051005WBWB-71</t>
  </si>
  <si>
    <t>GC051005WB</t>
  </si>
  <si>
    <t>GC061705WBWB-71</t>
  </si>
  <si>
    <t>GC061705WB</t>
  </si>
  <si>
    <t>GC061705WBWB-72</t>
  </si>
  <si>
    <t>GC071205WBWB-71</t>
  </si>
  <si>
    <t>GC071205WB</t>
  </si>
  <si>
    <t>GC071205WBWB-72</t>
  </si>
  <si>
    <t>GC081605WBWB-71</t>
  </si>
  <si>
    <t>GC081605WB</t>
  </si>
  <si>
    <t>GC081605WBWB-72</t>
  </si>
  <si>
    <t>GC091305WBWB-71</t>
  </si>
  <si>
    <t>GC091305WB</t>
  </si>
  <si>
    <t>GC091305WBWB-72</t>
  </si>
  <si>
    <t>GC102005WBWB-71</t>
  </si>
  <si>
    <t>GC102005WB</t>
  </si>
  <si>
    <t>GC102005WBWB-72</t>
  </si>
  <si>
    <t>GC020906HFWB-71</t>
  </si>
  <si>
    <t>GC020906HF</t>
  </si>
  <si>
    <t>GC020906HFWB-72</t>
  </si>
  <si>
    <t>GC032206WBWB-71</t>
  </si>
  <si>
    <t>GC032206WB</t>
  </si>
  <si>
    <t>GC050806WBWB-71</t>
  </si>
  <si>
    <t>GC050806WB</t>
  </si>
  <si>
    <t>GC050806WBWB-72</t>
  </si>
  <si>
    <t>GC060606HFWB-71</t>
  </si>
  <si>
    <t>GC060606HF</t>
  </si>
  <si>
    <t>GC060606HFWB-72</t>
  </si>
  <si>
    <t>GC062606WBWB-71</t>
  </si>
  <si>
    <t>GC062606WB</t>
  </si>
  <si>
    <t>GC062606WBWB-72</t>
  </si>
  <si>
    <t>GC071806WBWB-71</t>
  </si>
  <si>
    <t>GC071806WB</t>
  </si>
  <si>
    <t>GC071806WBWB-72</t>
  </si>
  <si>
    <t>GC080306HFWB-71</t>
  </si>
  <si>
    <t>GC080306HF</t>
  </si>
  <si>
    <t>GC080306HFWB-72</t>
  </si>
  <si>
    <t>GC083106HFWB-71</t>
  </si>
  <si>
    <t>GC083106HF</t>
  </si>
  <si>
    <t>GC083106HFWB-72</t>
  </si>
  <si>
    <t>GC091406WBWB-71</t>
  </si>
  <si>
    <t>GC091406WB</t>
  </si>
  <si>
    <t>GC091406WBWB-72</t>
  </si>
  <si>
    <t>GC100906WBWB-71</t>
  </si>
  <si>
    <t>GC100906WB</t>
  </si>
  <si>
    <t>GC100906WBWB-72</t>
  </si>
  <si>
    <t>GC101606WBWB-71</t>
  </si>
  <si>
    <t>GC101606WB</t>
  </si>
  <si>
    <t>GC121206WBWB-71</t>
  </si>
  <si>
    <t>GC121206WB</t>
  </si>
  <si>
    <t>GC121206WBWB-72</t>
  </si>
  <si>
    <t>GC022207WBWB-71</t>
  </si>
  <si>
    <t>GC022207WB</t>
  </si>
  <si>
    <t>GC022207WBWB-72</t>
  </si>
  <si>
    <t>GC030107HFWB-71</t>
  </si>
  <si>
    <t>GC030107HF</t>
  </si>
  <si>
    <t>GC041007WBWB-71</t>
  </si>
  <si>
    <t>GC041007WB</t>
  </si>
  <si>
    <t>GC041007WBWB-72</t>
  </si>
  <si>
    <t>GC042607WBWB-71</t>
  </si>
  <si>
    <t>GC042607WB</t>
  </si>
  <si>
    <t>GC052307WBWB-71</t>
  </si>
  <si>
    <t>GC052307WB</t>
  </si>
  <si>
    <t>GC052307WBWB-72</t>
  </si>
  <si>
    <t>GC061807WBWB-71</t>
  </si>
  <si>
    <t>GC061807WB</t>
  </si>
  <si>
    <t>GC071707WBWB-71</t>
  </si>
  <si>
    <t>GC071707WB</t>
  </si>
  <si>
    <t>GC071707WBWB-72</t>
  </si>
  <si>
    <t>GC082007WBWB-71</t>
  </si>
  <si>
    <t>GC082007WB</t>
  </si>
  <si>
    <t>GC091107WBWB-71</t>
  </si>
  <si>
    <t>GC091107WB</t>
  </si>
  <si>
    <t>GC091107WBWB-72</t>
  </si>
  <si>
    <t>GC011708WBWB-71</t>
  </si>
  <si>
    <t>GC011708WB</t>
  </si>
  <si>
    <t>GC011708WBWB-72</t>
  </si>
  <si>
    <t>GC041608CTWB-71</t>
  </si>
  <si>
    <t>GC041608CT</t>
  </si>
  <si>
    <t>GC041708WBWB-71</t>
  </si>
  <si>
    <t>GC041708WB</t>
  </si>
  <si>
    <t>GC041708WBWB-72</t>
  </si>
  <si>
    <t>GC060908WBWB-71</t>
  </si>
  <si>
    <t>GC060908WB</t>
  </si>
  <si>
    <t>GC060908WBWB-72</t>
  </si>
  <si>
    <t>GC071108WBWB-71</t>
  </si>
  <si>
    <t>GC071108WB</t>
  </si>
  <si>
    <t>GC071108WBWB-72</t>
  </si>
  <si>
    <t>GC082007WBWB-72</t>
  </si>
  <si>
    <t>GC071610DMRWB-71</t>
  </si>
  <si>
    <t>GC071610DMR</t>
  </si>
  <si>
    <t>Maine DMR survey</t>
  </si>
  <si>
    <t>GC071610DMRWB-72</t>
  </si>
  <si>
    <t>GC071610DMRWB-73</t>
  </si>
  <si>
    <t>GC071610DMRWB-74</t>
  </si>
  <si>
    <t>GC071610DMRWB-75</t>
  </si>
  <si>
    <t>GC071610DMRWB-76</t>
  </si>
  <si>
    <t>GC071610DMRWB-77</t>
  </si>
  <si>
    <t>GC071610DMRWB-78</t>
  </si>
  <si>
    <t>GC040612WB-7-1a</t>
  </si>
  <si>
    <t>GC040612</t>
  </si>
  <si>
    <t>1a</t>
  </si>
  <si>
    <t>GC040612WB-7-1b</t>
  </si>
  <si>
    <t>1b</t>
  </si>
  <si>
    <t>GC052412WB-7-1A</t>
  </si>
  <si>
    <t>GC052412</t>
  </si>
  <si>
    <t>1A</t>
  </si>
  <si>
    <t>GC052412WB-7-1b</t>
  </si>
  <si>
    <t>GC052412WB-7-2A</t>
  </si>
  <si>
    <t>2A</t>
  </si>
  <si>
    <t>GC052412WB-7-2b</t>
  </si>
  <si>
    <t>2b</t>
  </si>
  <si>
    <t>GC061112WB-7-1a</t>
  </si>
  <si>
    <t>GC061112</t>
  </si>
  <si>
    <t>GC061112WB-7-1b</t>
  </si>
  <si>
    <t>GC061112WB-7-2a</t>
  </si>
  <si>
    <t>2a</t>
  </si>
  <si>
    <t>GC061112WB-7-2b</t>
  </si>
  <si>
    <t>GC061812WB-7-1a</t>
  </si>
  <si>
    <t>GC061812</t>
  </si>
  <si>
    <t>GC061812WB-7-1b</t>
  </si>
  <si>
    <t>GC070312WB-7-1a</t>
  </si>
  <si>
    <t>GC070312</t>
  </si>
  <si>
    <t>GC070312WB-7-1b</t>
  </si>
  <si>
    <t>GC070312WB-7-2b</t>
  </si>
  <si>
    <t>GC071812WB-7-1a</t>
  </si>
  <si>
    <t>GC071812</t>
  </si>
  <si>
    <t>GC071812WB-7-1b</t>
  </si>
  <si>
    <t>GC071812WB-7-2a</t>
  </si>
  <si>
    <t>GC080712WB-7-1a</t>
  </si>
  <si>
    <t>GC080712</t>
  </si>
  <si>
    <t>GC080712WB-7-1b</t>
  </si>
  <si>
    <t>GC080712WB-7-2a</t>
  </si>
  <si>
    <t>GC082712WB-7-1a</t>
  </si>
  <si>
    <t>GC082712</t>
  </si>
  <si>
    <t>GC082712WB-7-1b</t>
  </si>
  <si>
    <t>GC082712WB-7-2a</t>
  </si>
  <si>
    <t>GC091412WB-7-1a</t>
  </si>
  <si>
    <t>GC091412</t>
  </si>
  <si>
    <t>GC091412WB-7-1b</t>
  </si>
  <si>
    <t>GC091412WB-7-2a</t>
  </si>
  <si>
    <t>GC102412WB-7-1a</t>
  </si>
  <si>
    <t>GC102412</t>
  </si>
  <si>
    <t>Sieve and Cod ends missing - A fitted with live cod end 80um, B with GC 1/2 sized cod end 150 um.  Salp Bloom</t>
  </si>
  <si>
    <t>GC102412WB-7-2a</t>
  </si>
  <si>
    <t>GC110612WB-7-1a</t>
  </si>
  <si>
    <t>GC110612</t>
  </si>
  <si>
    <t>GC110612WB-7-1B</t>
  </si>
  <si>
    <t>1B</t>
  </si>
  <si>
    <t>GC110612WB-7-2b</t>
  </si>
  <si>
    <t>GC111912WB-7-1a</t>
  </si>
  <si>
    <t>GC111912</t>
  </si>
  <si>
    <t>GC111912WB-7-1b</t>
  </si>
  <si>
    <t>some salps and jellys</t>
  </si>
  <si>
    <t>GC111912WB-7-2b</t>
  </si>
  <si>
    <t>GC010313WB-7-1a</t>
  </si>
  <si>
    <t>GC010313</t>
  </si>
  <si>
    <t>GC010313WB-7-1b</t>
  </si>
  <si>
    <t>GC010313WB-7-2b</t>
  </si>
  <si>
    <t>GC012813WB-7-1a</t>
  </si>
  <si>
    <t>GC012813</t>
  </si>
  <si>
    <t>GC012813WB-7-1b</t>
  </si>
  <si>
    <t>GC012813WB-7-2a</t>
  </si>
  <si>
    <t>GC012813WB-7-2b</t>
  </si>
  <si>
    <t>GC031813WB-7-1a</t>
  </si>
  <si>
    <t>GC031813</t>
  </si>
  <si>
    <t>GC031813WB-7-1b</t>
  </si>
  <si>
    <t>GC031813WB-7-2b</t>
  </si>
  <si>
    <t>GC041513WB-7-1a</t>
  </si>
  <si>
    <t>GC041513</t>
  </si>
  <si>
    <t>GC041513WB-7-1b</t>
  </si>
  <si>
    <t>GC041513WB-7-2a</t>
  </si>
  <si>
    <t>GC041513WB-7-2b</t>
  </si>
  <si>
    <t>GC052113WB-7-1a</t>
  </si>
  <si>
    <t>GC052113</t>
  </si>
  <si>
    <t>GC052113WB-7-1b</t>
  </si>
  <si>
    <t>GC052113WB-7-2a</t>
  </si>
  <si>
    <t>GC052113WB-7-2b</t>
  </si>
  <si>
    <t>GC021214WB-7-1A</t>
  </si>
  <si>
    <t>GC021214</t>
  </si>
  <si>
    <t>GC021214WB-7-1B</t>
  </si>
  <si>
    <t>GC021214WB-7-2A</t>
  </si>
  <si>
    <t>GC04212014WB-7-1a</t>
  </si>
  <si>
    <t>GC04212014</t>
  </si>
  <si>
    <t>GC04212014WB-7-1b</t>
  </si>
  <si>
    <t>GC04212014WB-7-2a</t>
  </si>
  <si>
    <t>GC04212014WB-7-2b</t>
  </si>
  <si>
    <t>Lots of chain diatoms in sample</t>
  </si>
  <si>
    <t>BT_2014WB-7-2</t>
  </si>
  <si>
    <t>BT_2014</t>
  </si>
  <si>
    <t>BT_2014WB-7-1</t>
  </si>
  <si>
    <t>GC03252015WB-7-1a</t>
  </si>
  <si>
    <t>GC03252015WB-7-1b</t>
  </si>
  <si>
    <t>GC03252015WB-7-2a</t>
  </si>
  <si>
    <t>GC03252015WB-7-2b</t>
  </si>
  <si>
    <t>GC06052015WB-7-1a</t>
  </si>
  <si>
    <t>GC06052015WB-7-1b</t>
  </si>
  <si>
    <t>GC06052015WB-7-2a</t>
  </si>
  <si>
    <t>BT1507062015WB-7-2</t>
  </si>
  <si>
    <t>GC08262015WB-7-1</t>
  </si>
  <si>
    <t>GC10072015WB-7-1</t>
  </si>
  <si>
    <t>GC10072015WB-7-2</t>
  </si>
  <si>
    <t>GC11182015WB-7-1</t>
  </si>
  <si>
    <t>GC11182015WB-7-2</t>
  </si>
  <si>
    <t>GC01252016WB-7-1</t>
  </si>
  <si>
    <t>GC03082016WB-7-1</t>
  </si>
  <si>
    <t>GC03082016WB-7-2</t>
  </si>
  <si>
    <t>Split is 1</t>
  </si>
  <si>
    <t>GC03302016WB-7-1</t>
  </si>
  <si>
    <t>GC03302016WB-7-2</t>
  </si>
  <si>
    <t>GC04212016WB-7-1</t>
  </si>
  <si>
    <t>GC04212016WB-7-2</t>
  </si>
  <si>
    <t>GC05112016WB-7-1</t>
  </si>
  <si>
    <t>GC05112016WB-7-2</t>
  </si>
  <si>
    <t>74 total pteropods in light box</t>
  </si>
  <si>
    <t>GC06152016WB-7-1</t>
  </si>
  <si>
    <t>GC06152016WB-7-2</t>
  </si>
  <si>
    <t>BT1607052016WB-7-1</t>
  </si>
  <si>
    <t>GOMCES station bt0401</t>
  </si>
  <si>
    <t>BT1607052016WB-7-2</t>
  </si>
  <si>
    <t>GC07272016WB-7-1</t>
  </si>
  <si>
    <t>GC07272016WB-7-2</t>
  </si>
  <si>
    <t>WBTS10122016WB-7-1</t>
  </si>
  <si>
    <t>Beroe removed</t>
  </si>
  <si>
    <t>WBTS10122016WB-7-2</t>
  </si>
  <si>
    <t>Beroe removed, many salps in sample</t>
  </si>
  <si>
    <t>WBTS01142017WB-7-1</t>
  </si>
  <si>
    <t>WBTS01142017WB-7-2</t>
  </si>
  <si>
    <t>WBTS03062017WB-7-1</t>
  </si>
  <si>
    <t>WBTS03062017WB-7-2</t>
  </si>
  <si>
    <t>WBTS04142017WB-7-1</t>
  </si>
  <si>
    <t>WBTS04142017WB-7-2</t>
  </si>
  <si>
    <t>WBTS05162017WB-7-1</t>
  </si>
  <si>
    <t>Net hit bottom</t>
  </si>
  <si>
    <t>WBTS05162017WB-7-2</t>
  </si>
  <si>
    <t>WBTS06152017WB-7-1</t>
  </si>
  <si>
    <t>WBTS06152017WB-7-2</t>
  </si>
  <si>
    <t>WBTS07192017WB-7-1</t>
  </si>
  <si>
    <t>WBTS07192017WB-7-2</t>
  </si>
  <si>
    <t>GC01042020WBTS</t>
  </si>
  <si>
    <t>DW from sample 1A</t>
  </si>
  <si>
    <t>2B</t>
  </si>
  <si>
    <t>DW from sample 2B</t>
  </si>
  <si>
    <t>ND</t>
  </si>
  <si>
    <t>GC062620WBTS</t>
  </si>
  <si>
    <t>GC072220WBTS</t>
  </si>
  <si>
    <t>GC081320WBTS</t>
  </si>
  <si>
    <t>DW from sample 2A</t>
  </si>
  <si>
    <t>GC110820WBTS</t>
  </si>
  <si>
    <t>GC01142021WBTS</t>
  </si>
  <si>
    <t>GC02182021WBTS</t>
  </si>
  <si>
    <t>Lots of phytoplankton</t>
  </si>
  <si>
    <t>DW from sample 1B</t>
  </si>
  <si>
    <t>GC03232021WBTS</t>
  </si>
  <si>
    <t>GC04282021WBTS</t>
  </si>
  <si>
    <t>GC05182021WBTS</t>
  </si>
  <si>
    <t>GC07142021WBTS</t>
  </si>
  <si>
    <t>A</t>
  </si>
  <si>
    <t>GC09012021WBTS</t>
  </si>
  <si>
    <t>GC10012021WBTS</t>
  </si>
  <si>
    <t>1</t>
  </si>
  <si>
    <t>GC10012021WB</t>
  </si>
  <si>
    <t>GC11082021WBTS</t>
  </si>
  <si>
    <t>GC04132022WBTS</t>
  </si>
  <si>
    <t>GC06012022WBTS</t>
  </si>
  <si>
    <t>GC06142022WBTS</t>
  </si>
  <si>
    <t>GC07182022WBTS</t>
  </si>
  <si>
    <t>ECOA82122</t>
  </si>
  <si>
    <t>GC09302022WBTS</t>
  </si>
  <si>
    <t>Calanus Index Sum CIII-CVI</t>
  </si>
  <si>
    <t>GC11022022WBTS</t>
  </si>
  <si>
    <t>GC11152022WBTS</t>
  </si>
  <si>
    <t>GC041322WBTS</t>
  </si>
  <si>
    <t>GC071822WBTS</t>
  </si>
  <si>
    <t>GC09302022WB</t>
  </si>
  <si>
    <t>GC-01252023-WBTS</t>
  </si>
  <si>
    <t>GC01252023WBTS</t>
  </si>
  <si>
    <t>GC-02092023-WBTS</t>
  </si>
  <si>
    <t>GC02092023WBTS</t>
  </si>
  <si>
    <t>GC-020923-WBTS</t>
  </si>
  <si>
    <t>GC-031023-WB</t>
  </si>
  <si>
    <t>GC03102023WBTS</t>
  </si>
  <si>
    <t>GC-031023-WBTS</t>
  </si>
  <si>
    <t>GC-04142023-WB</t>
  </si>
  <si>
    <t>GC04142023WBTS</t>
  </si>
  <si>
    <t>GC-051723-BW</t>
  </si>
  <si>
    <t>GC05172023WBTS</t>
  </si>
  <si>
    <t>GC-061723-WB</t>
  </si>
  <si>
    <t>GC06172023WBTS</t>
  </si>
  <si>
    <t>GC080723WBTS</t>
  </si>
  <si>
    <t>GC08072023WBTS</t>
  </si>
  <si>
    <t>GC090723WBTS</t>
  </si>
  <si>
    <t>GC09072023WBTS</t>
  </si>
  <si>
    <t>GC12022023WBTS</t>
  </si>
  <si>
    <t>GC10052023WBTS</t>
  </si>
  <si>
    <t>GC03252015WB</t>
  </si>
  <si>
    <t>GC06052015WB</t>
  </si>
  <si>
    <t>BT1507062015WB</t>
  </si>
  <si>
    <t>GC08262015WB</t>
  </si>
  <si>
    <t>GC10072015WB</t>
  </si>
  <si>
    <t>GC11182015WB</t>
  </si>
  <si>
    <t>GC01252016WB</t>
  </si>
  <si>
    <t>GC03082016WB</t>
  </si>
  <si>
    <t>GC03302016WB</t>
  </si>
  <si>
    <t>GC04212016WB</t>
  </si>
  <si>
    <t>GC05112016WB</t>
  </si>
  <si>
    <t>GC06152016WB</t>
  </si>
  <si>
    <t>BT1607052016WB</t>
  </si>
  <si>
    <t>GC07272016WB</t>
  </si>
  <si>
    <t>GC10122016WB</t>
  </si>
  <si>
    <t>GC01142017WB</t>
  </si>
  <si>
    <t>GC07192017WB</t>
  </si>
  <si>
    <t>GC06152017WB</t>
  </si>
  <si>
    <t>GC05162017WB</t>
  </si>
  <si>
    <t>GC04142017WB</t>
  </si>
  <si>
    <t>GC03062017WB</t>
  </si>
  <si>
    <t>WB-7/WBTS</t>
  </si>
  <si>
    <t>GC071823WB</t>
  </si>
  <si>
    <t>GC07182023WBTS</t>
  </si>
  <si>
    <t>Total</t>
  </si>
  <si>
    <t>pct_C1</t>
  </si>
  <si>
    <t>pct_C2</t>
  </si>
  <si>
    <t>pct_C3</t>
  </si>
  <si>
    <t>pct_C4</t>
  </si>
  <si>
    <t>pct_C5</t>
  </si>
  <si>
    <t>pct_C6</t>
  </si>
  <si>
    <t>Flag</t>
  </si>
  <si>
    <t>GC02122024WBTS</t>
  </si>
  <si>
    <t>GC03142024WBTS</t>
  </si>
  <si>
    <t>CSI</t>
  </si>
  <si>
    <t>GC05312024WBTS</t>
  </si>
  <si>
    <t>GC07092024WBTS</t>
  </si>
  <si>
    <t>GC08142024WBTS</t>
  </si>
  <si>
    <t>GC09302024WBTS</t>
  </si>
  <si>
    <t>GC10172024WBTS</t>
  </si>
  <si>
    <t>GC11042024WBTS</t>
  </si>
  <si>
    <t>GC01132025WBTS</t>
  </si>
  <si>
    <t>GC02242025WBTS</t>
  </si>
  <si>
    <t>GC06182025WBTS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</si>
</sst>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;@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E0B3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0" borderId="0"/>
  </cellStyleXfs>
  <cellXfs count="46">
    <xf numFmtId="0" fontId="0" fillId="0" borderId="0" xfId="0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3" applyAlignment="1">
      <alignment horizontal="center"/>
    </xf>
    <xf numFmtId="165" fontId="3" fillId="0" borderId="0" xfId="3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6" fontId="3" fillId="0" borderId="0" xfId="3" applyNumberFormat="1" applyAlignment="1">
      <alignment horizontal="center"/>
    </xf>
    <xf numFmtId="1" fontId="3" fillId="0" borderId="0" xfId="3" applyNumberFormat="1" applyAlignment="1">
      <alignment horizontal="center"/>
    </xf>
    <xf numFmtId="165" fontId="0" fillId="0" borderId="0" xfId="0" applyNumberFormat="1" applyAlignment="1">
      <alignment horizontal="center"/>
    </xf>
    <xf numFmtId="20" fontId="4" fillId="0" borderId="0" xfId="2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4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wrapText="1"/>
    </xf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/>
    <xf numFmtId="0" fontId="0" fillId="4" borderId="0" xfId="0" applyFill="1" applyAlignment="1">
      <alignment horizontal="center"/>
    </xf>
    <xf numFmtId="165" fontId="0" fillId="0" borderId="0" xfId="0" applyNumberFormat="1" applyAlignment="1">
      <alignment horizontal="center" wrapText="1"/>
    </xf>
    <xf numFmtId="165" fontId="6" fillId="0" borderId="0" xfId="0" applyNumberFormat="1" applyFont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0" applyFont="1" applyAlignment="1">
      <alignment horizontal="center"/>
    </xf>
    <xf numFmtId="1" fontId="0" fillId="5" borderId="0" xfId="0" applyNumberFormat="1" applyFill="1" applyAlignment="1">
      <alignment horizontal="center" wrapText="1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2" fontId="0" fillId="0" borderId="0" xfId="0" applyNumberFormat="1"/>
    <xf numFmtId="164" fontId="0" fillId="7" borderId="0" xfId="0" applyNumberFormat="1" applyFill="1" applyAlignment="1">
      <alignment horizontal="center"/>
    </xf>
    <xf numFmtId="14" fontId="0" fillId="0" borderId="2" xfId="0" applyNumberFormat="1" applyBorder="1" applyAlignment="1">
      <alignment horizontal="right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8" borderId="2" xfId="0" applyFill="1" applyBorder="1" applyAlignment="1">
      <alignment horizontal="center" wrapText="1"/>
    </xf>
  </cellXfs>
  <cellStyles count="4">
    <cellStyle name="Neutral" xfId="1" builtinId="28"/>
    <cellStyle name="Normal" xfId="0" builtinId="0"/>
    <cellStyle name="Normal 2" xfId="3" xr:uid="{6D0F24EE-2C21-4902-8DD1-F76F8CD08066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E8E-301F-4745-AF71-007CA8E97B2A}">
  <dimension ref="A1:AT255"/>
  <sheetViews>
    <sheetView tabSelected="1" workbookViewId="0">
      <pane xSplit="1" ySplit="1" topLeftCell="S213" activePane="bottomRight" state="frozen"/>
      <selection pane="topRight" activeCell="B1" sqref="B1"/>
      <selection pane="bottomLeft" activeCell="A2" sqref="A2"/>
      <selection pane="bottomRight" activeCell="E263" sqref="E263"/>
    </sheetView>
  </sheetViews>
  <sheetFormatPr defaultColWidth="8.85546875" defaultRowHeight="15" x14ac:dyDescent="0.25"/>
  <cols>
    <col min="1" max="1" width="23.140625" style="4" customWidth="1"/>
    <col min="2" max="2" width="21.85546875" style="4" customWidth="1"/>
    <col min="3" max="3" width="12.42578125" style="4" customWidth="1"/>
    <col min="4" max="4" width="12.42578125" style="14" customWidth="1"/>
    <col min="5" max="5" width="12.42578125" style="4" customWidth="1"/>
    <col min="6" max="8" width="11.7109375" style="4" customWidth="1"/>
    <col min="9" max="9" width="8.28515625" style="4" customWidth="1"/>
    <col min="10" max="10" width="11.140625" style="4" customWidth="1"/>
    <col min="11" max="11" width="11.7109375" style="4" customWidth="1"/>
    <col min="12" max="12" width="5.7109375" style="4" customWidth="1"/>
    <col min="13" max="13" width="10.140625" style="4" customWidth="1"/>
    <col min="14" max="14" width="7.42578125" style="4" customWidth="1"/>
    <col min="15" max="15" width="8" style="4" customWidth="1"/>
    <col min="16" max="16" width="10.28515625" style="4" customWidth="1"/>
    <col min="17" max="17" width="18.42578125" style="4" customWidth="1"/>
    <col min="18" max="18" width="7.85546875" style="4" customWidth="1"/>
    <col min="19" max="19" width="9.42578125" style="7" customWidth="1"/>
    <col min="20" max="20" width="8.85546875" style="4" customWidth="1"/>
    <col min="21" max="21" width="10.85546875" style="6" customWidth="1"/>
    <col min="22" max="22" width="9.7109375" style="6" customWidth="1"/>
    <col min="23" max="23" width="18.140625" style="7" customWidth="1"/>
    <col min="24" max="24" width="12.140625" style="4" customWidth="1"/>
    <col min="25" max="25" width="12.42578125" style="7" customWidth="1"/>
    <col min="26" max="26" width="13.140625" style="7" customWidth="1"/>
    <col min="27" max="27" width="12.42578125" style="7" customWidth="1"/>
    <col min="28" max="28" width="13.28515625" style="7" customWidth="1"/>
    <col min="29" max="29" width="12.140625" style="7" customWidth="1"/>
    <col min="30" max="30" width="12.85546875" style="7" customWidth="1"/>
    <col min="31" max="31" width="12.28515625" style="7" customWidth="1"/>
    <col min="32" max="32" width="13.140625" style="7" customWidth="1"/>
    <col min="33" max="33" width="10.85546875" style="36" customWidth="1"/>
    <col min="35" max="35" width="12" bestFit="1" customWidth="1"/>
    <col min="41" max="41" width="13.42578125" customWidth="1"/>
    <col min="42" max="43" width="12" bestFit="1" customWidth="1"/>
  </cols>
  <sheetData>
    <row r="1" spans="1:41" ht="30" customHeight="1" x14ac:dyDescent="0.25">
      <c r="A1" s="1" t="s">
        <v>0</v>
      </c>
      <c r="B1" s="1" t="s">
        <v>1</v>
      </c>
      <c r="C1" s="1" t="s">
        <v>2</v>
      </c>
      <c r="D1" s="31" t="s">
        <v>3</v>
      </c>
      <c r="E1" s="1" t="s">
        <v>372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3" t="s">
        <v>19</v>
      </c>
      <c r="V1" s="3" t="s">
        <v>20</v>
      </c>
      <c r="W1" s="2" t="s">
        <v>21</v>
      </c>
      <c r="X1" s="1" t="s">
        <v>3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5" t="s">
        <v>315</v>
      </c>
      <c r="AH1" s="2" t="s">
        <v>365</v>
      </c>
      <c r="AI1" s="2" t="s">
        <v>366</v>
      </c>
      <c r="AJ1" s="2" t="s">
        <v>367</v>
      </c>
      <c r="AK1" s="2" t="s">
        <v>368</v>
      </c>
      <c r="AL1" s="2" t="s">
        <v>369</v>
      </c>
      <c r="AM1" s="2" t="s">
        <v>370</v>
      </c>
      <c r="AN1" s="2" t="s">
        <v>371</v>
      </c>
      <c r="AO1" s="2" t="s">
        <v>375</v>
      </c>
    </row>
    <row r="2" spans="1:41" ht="30" customHeight="1" x14ac:dyDescent="0.25">
      <c r="A2" s="4" t="s">
        <v>30</v>
      </c>
      <c r="B2" s="4" t="s">
        <v>31</v>
      </c>
      <c r="C2" s="4" t="s">
        <v>362</v>
      </c>
      <c r="D2" s="14">
        <v>38327</v>
      </c>
      <c r="E2" s="4">
        <v>1</v>
      </c>
      <c r="F2" s="4">
        <f t="shared" ref="F2:F11" si="0">MONTH(D2)</f>
        <v>12</v>
      </c>
      <c r="G2" s="4">
        <f t="shared" ref="G2:G11" si="1">DAY(D2)</f>
        <v>6</v>
      </c>
      <c r="H2" s="4">
        <f t="shared" ref="H2:H11" si="2">YEAR(D2)</f>
        <v>2004</v>
      </c>
      <c r="J2" s="4">
        <v>42.861199999999997</v>
      </c>
      <c r="K2" s="4">
        <v>-69.860500000000002</v>
      </c>
      <c r="L2" s="4">
        <v>1</v>
      </c>
      <c r="M2" s="4" t="s">
        <v>32</v>
      </c>
      <c r="N2" s="4">
        <v>200</v>
      </c>
      <c r="O2" s="4">
        <v>255</v>
      </c>
      <c r="P2" s="4">
        <v>260</v>
      </c>
      <c r="R2" s="4">
        <v>0.44156000000000001</v>
      </c>
      <c r="S2" s="4">
        <v>113</v>
      </c>
      <c r="T2" s="4">
        <v>0.5</v>
      </c>
      <c r="U2" s="6">
        <v>8.4600000000000009</v>
      </c>
      <c r="V2" s="6">
        <f t="shared" ref="V2:V11" si="3">(U2/S2)*O2</f>
        <v>19.091150442477876</v>
      </c>
      <c r="X2" s="5">
        <v>38327</v>
      </c>
    </row>
    <row r="3" spans="1:41" ht="30" customHeight="1" x14ac:dyDescent="0.25">
      <c r="A3" s="4" t="s">
        <v>33</v>
      </c>
      <c r="B3" s="4" t="s">
        <v>31</v>
      </c>
      <c r="C3" s="4" t="s">
        <v>362</v>
      </c>
      <c r="D3" s="14">
        <v>38327</v>
      </c>
      <c r="E3" s="4">
        <v>1</v>
      </c>
      <c r="F3" s="4">
        <f t="shared" si="0"/>
        <v>12</v>
      </c>
      <c r="G3" s="4">
        <f t="shared" si="1"/>
        <v>6</v>
      </c>
      <c r="H3" s="4">
        <f t="shared" si="2"/>
        <v>2004</v>
      </c>
      <c r="J3" s="4">
        <v>42.861199999999997</v>
      </c>
      <c r="K3" s="4">
        <v>-69.860500000000002</v>
      </c>
      <c r="L3" s="4">
        <v>2</v>
      </c>
      <c r="M3" s="4" t="s">
        <v>32</v>
      </c>
      <c r="N3" s="4">
        <v>200</v>
      </c>
      <c r="O3" s="4">
        <v>255</v>
      </c>
      <c r="P3" s="4">
        <v>260</v>
      </c>
      <c r="R3" s="4">
        <v>0.44156000000000001</v>
      </c>
      <c r="S3" s="4">
        <v>113</v>
      </c>
      <c r="T3" s="4">
        <v>0.5</v>
      </c>
      <c r="U3" s="6">
        <v>9.4540000000000006</v>
      </c>
      <c r="V3" s="6">
        <f t="shared" si="3"/>
        <v>21.334247787610622</v>
      </c>
      <c r="X3" s="5">
        <v>38327</v>
      </c>
    </row>
    <row r="4" spans="1:41" ht="30" customHeight="1" x14ac:dyDescent="0.25">
      <c r="A4" s="4" t="s">
        <v>34</v>
      </c>
      <c r="B4" s="4" t="s">
        <v>35</v>
      </c>
      <c r="C4" s="4" t="s">
        <v>362</v>
      </c>
      <c r="D4" s="14">
        <v>38382</v>
      </c>
      <c r="F4" s="4">
        <f t="shared" si="0"/>
        <v>1</v>
      </c>
      <c r="G4" s="4">
        <f t="shared" si="1"/>
        <v>30</v>
      </c>
      <c r="H4" s="4">
        <f t="shared" si="2"/>
        <v>2005</v>
      </c>
      <c r="J4" s="4">
        <v>42.864600000000003</v>
      </c>
      <c r="K4" s="4">
        <v>-69.863200000000006</v>
      </c>
      <c r="L4" s="4">
        <v>1</v>
      </c>
      <c r="M4" s="4" t="s">
        <v>32</v>
      </c>
      <c r="N4" s="4">
        <v>200</v>
      </c>
      <c r="O4" s="4">
        <v>250</v>
      </c>
      <c r="P4" s="4">
        <v>255</v>
      </c>
      <c r="R4" s="4">
        <v>0.44156000000000001</v>
      </c>
      <c r="S4" s="4">
        <v>110</v>
      </c>
      <c r="T4" s="4">
        <v>0.5</v>
      </c>
      <c r="U4" s="6">
        <v>5.5819999999999999</v>
      </c>
      <c r="V4" s="6">
        <f t="shared" si="3"/>
        <v>12.686363636363636</v>
      </c>
      <c r="W4" s="7">
        <v>60</v>
      </c>
      <c r="X4" s="5">
        <v>38382</v>
      </c>
      <c r="Y4" s="7">
        <v>543.52749343237622</v>
      </c>
      <c r="Z4" s="7">
        <v>543.52749343237622</v>
      </c>
      <c r="AA4" s="7">
        <v>0</v>
      </c>
      <c r="AB4" s="7">
        <v>0</v>
      </c>
      <c r="AC4" s="7">
        <v>0</v>
      </c>
      <c r="AD4" s="7">
        <v>6250.5661744723257</v>
      </c>
      <c r="AE4" s="7">
        <v>4891.7474408913849</v>
      </c>
      <c r="AF4" s="7">
        <v>1358.8187335809403</v>
      </c>
      <c r="AG4" s="37">
        <f>SUM(AB4:AF4)</f>
        <v>12501.132348944649</v>
      </c>
      <c r="AH4" s="29">
        <f>SUM(Z4:AF4)</f>
        <v>13044.659842377027</v>
      </c>
      <c r="AI4">
        <f>1*Z4</f>
        <v>543.52749343237622</v>
      </c>
      <c r="AJ4">
        <f>2*AA4</f>
        <v>0</v>
      </c>
      <c r="AK4">
        <f>3*AB4</f>
        <v>0</v>
      </c>
      <c r="AL4">
        <f>4*AC4</f>
        <v>0</v>
      </c>
      <c r="AM4">
        <f>5*AD4</f>
        <v>31252.830872361628</v>
      </c>
      <c r="AN4">
        <f>6*(AE4+AF4)</f>
        <v>37503.397046833954</v>
      </c>
      <c r="AO4" s="40">
        <f>SUM(AI4:AN4)/AH4</f>
        <v>5.3125</v>
      </c>
    </row>
    <row r="5" spans="1:41" x14ac:dyDescent="0.25">
      <c r="A5" s="4" t="s">
        <v>36</v>
      </c>
      <c r="B5" s="4" t="s">
        <v>35</v>
      </c>
      <c r="C5" s="4" t="s">
        <v>362</v>
      </c>
      <c r="D5" s="14">
        <v>38382</v>
      </c>
      <c r="E5" s="14"/>
      <c r="F5" s="4">
        <f t="shared" si="0"/>
        <v>1</v>
      </c>
      <c r="G5" s="4">
        <f t="shared" si="1"/>
        <v>30</v>
      </c>
      <c r="H5" s="4">
        <f t="shared" si="2"/>
        <v>2005</v>
      </c>
      <c r="J5" s="4">
        <v>42.864600000000003</v>
      </c>
      <c r="K5" s="4">
        <v>-69.863200000000006</v>
      </c>
      <c r="L5" s="4">
        <v>2</v>
      </c>
      <c r="M5" s="4" t="s">
        <v>32</v>
      </c>
      <c r="N5" s="4">
        <v>200</v>
      </c>
      <c r="O5" s="4">
        <v>250</v>
      </c>
      <c r="P5" s="4">
        <v>255</v>
      </c>
      <c r="R5" s="4">
        <v>0.44156000000000001</v>
      </c>
      <c r="S5" s="4">
        <v>110</v>
      </c>
      <c r="T5" s="4">
        <v>0.5</v>
      </c>
      <c r="U5" s="6">
        <v>7.0179999999999998</v>
      </c>
      <c r="V5" s="6">
        <f t="shared" si="3"/>
        <v>15.95</v>
      </c>
      <c r="X5" s="5">
        <v>38382</v>
      </c>
    </row>
    <row r="6" spans="1:41" x14ac:dyDescent="0.25">
      <c r="A6" s="4" t="s">
        <v>37</v>
      </c>
      <c r="B6" s="4" t="s">
        <v>38</v>
      </c>
      <c r="C6" s="4" t="s">
        <v>362</v>
      </c>
      <c r="D6" s="14">
        <v>38397</v>
      </c>
      <c r="E6" s="14"/>
      <c r="F6" s="4">
        <f t="shared" si="0"/>
        <v>2</v>
      </c>
      <c r="G6" s="4">
        <f t="shared" si="1"/>
        <v>14</v>
      </c>
      <c r="H6" s="4">
        <f t="shared" si="2"/>
        <v>2005</v>
      </c>
      <c r="J6" s="4">
        <v>42.864600000000003</v>
      </c>
      <c r="K6" s="4">
        <v>-69.863200000000006</v>
      </c>
      <c r="L6" s="4">
        <v>1</v>
      </c>
      <c r="M6" s="4" t="s">
        <v>32</v>
      </c>
      <c r="N6" s="4">
        <v>200</v>
      </c>
      <c r="O6" s="4">
        <v>240</v>
      </c>
      <c r="P6" s="4">
        <v>245</v>
      </c>
      <c r="R6" s="4">
        <v>0.44156000000000001</v>
      </c>
      <c r="S6" s="4">
        <v>106</v>
      </c>
      <c r="T6" s="4">
        <v>0.5</v>
      </c>
      <c r="U6" s="6">
        <v>2.6419999999999999</v>
      </c>
      <c r="V6" s="6">
        <f t="shared" si="3"/>
        <v>5.9818867924528298</v>
      </c>
      <c r="X6" s="5">
        <v>38397</v>
      </c>
    </row>
    <row r="7" spans="1:41" ht="30" customHeight="1" x14ac:dyDescent="0.25">
      <c r="A7" s="4" t="s">
        <v>39</v>
      </c>
      <c r="B7" s="4" t="s">
        <v>38</v>
      </c>
      <c r="C7" s="4" t="s">
        <v>362</v>
      </c>
      <c r="D7" s="14">
        <v>38397</v>
      </c>
      <c r="F7" s="4">
        <f t="shared" si="0"/>
        <v>2</v>
      </c>
      <c r="G7" s="4">
        <f t="shared" si="1"/>
        <v>14</v>
      </c>
      <c r="H7" s="4">
        <f t="shared" si="2"/>
        <v>2005</v>
      </c>
      <c r="J7" s="4">
        <v>42.864600000000003</v>
      </c>
      <c r="K7" s="4">
        <v>-69.863200000000006</v>
      </c>
      <c r="L7" s="4">
        <v>2</v>
      </c>
      <c r="M7" s="4" t="s">
        <v>32</v>
      </c>
      <c r="N7" s="4">
        <v>200</v>
      </c>
      <c r="O7" s="4">
        <v>240</v>
      </c>
      <c r="P7" s="4">
        <v>245</v>
      </c>
      <c r="R7" s="4">
        <v>0.44156000000000001</v>
      </c>
      <c r="S7" s="4">
        <v>106</v>
      </c>
      <c r="T7" s="4">
        <v>0.5</v>
      </c>
      <c r="U7" s="6">
        <v>4.09</v>
      </c>
      <c r="V7" s="6">
        <f t="shared" si="3"/>
        <v>9.2603773584905671</v>
      </c>
      <c r="W7" s="7">
        <v>60</v>
      </c>
      <c r="X7" s="5">
        <v>38397</v>
      </c>
      <c r="Y7" s="7">
        <v>4891.7474408913849</v>
      </c>
      <c r="Z7" s="7">
        <v>1902.3462270133164</v>
      </c>
      <c r="AA7" s="7">
        <v>543.5274934323761</v>
      </c>
      <c r="AB7" s="7">
        <v>0</v>
      </c>
      <c r="AC7" s="7">
        <v>2717.6374671618805</v>
      </c>
      <c r="AD7" s="7">
        <v>6794.0936679047009</v>
      </c>
      <c r="AE7" s="7">
        <v>11957.604855512274</v>
      </c>
      <c r="AF7" s="7">
        <v>2989.4012138780686</v>
      </c>
      <c r="AG7" s="37">
        <f>SUM(AB7:AF7)</f>
        <v>24458.73720445692</v>
      </c>
      <c r="AH7" s="29">
        <f>SUM(Z7:AF7)</f>
        <v>26904.610924902616</v>
      </c>
      <c r="AI7">
        <f>1*Z7</f>
        <v>1902.3462270133164</v>
      </c>
      <c r="AJ7">
        <f>2*AA7</f>
        <v>1087.0549868647522</v>
      </c>
      <c r="AK7">
        <f>3*AB7</f>
        <v>0</v>
      </c>
      <c r="AL7">
        <f>4*AC7</f>
        <v>10870.549868647522</v>
      </c>
      <c r="AM7">
        <f>5*AD7</f>
        <v>33970.468339523504</v>
      </c>
      <c r="AN7">
        <f>6*(AE7+AF7)</f>
        <v>89682.03641634206</v>
      </c>
      <c r="AO7" s="40">
        <f>SUM(AI7:AN7)/AH7</f>
        <v>5.1111111111111116</v>
      </c>
    </row>
    <row r="8" spans="1:41" x14ac:dyDescent="0.25">
      <c r="A8" s="4" t="s">
        <v>40</v>
      </c>
      <c r="B8" s="4" t="s">
        <v>41</v>
      </c>
      <c r="C8" s="4" t="s">
        <v>362</v>
      </c>
      <c r="D8" s="14">
        <v>38429</v>
      </c>
      <c r="E8" s="14"/>
      <c r="F8" s="4">
        <f t="shared" si="0"/>
        <v>3</v>
      </c>
      <c r="G8" s="4">
        <f t="shared" si="1"/>
        <v>18</v>
      </c>
      <c r="H8" s="4">
        <f t="shared" si="2"/>
        <v>2005</v>
      </c>
      <c r="J8" s="4">
        <v>42.8626</v>
      </c>
      <c r="K8" s="4">
        <v>-69.862099999999998</v>
      </c>
      <c r="L8" s="4">
        <v>1</v>
      </c>
      <c r="M8" s="4" t="s">
        <v>32</v>
      </c>
      <c r="N8" s="4">
        <v>200</v>
      </c>
      <c r="O8" s="4">
        <v>244</v>
      </c>
      <c r="P8" s="4">
        <v>249</v>
      </c>
      <c r="R8" s="4">
        <v>0.44156000000000001</v>
      </c>
      <c r="S8" s="4">
        <v>108</v>
      </c>
      <c r="T8" s="4">
        <v>0.5</v>
      </c>
      <c r="U8" s="6">
        <v>1.778</v>
      </c>
      <c r="V8" s="6">
        <f t="shared" si="3"/>
        <v>4.0169629629629631</v>
      </c>
      <c r="X8" s="5">
        <v>38429</v>
      </c>
    </row>
    <row r="9" spans="1:41" ht="30" customHeight="1" x14ac:dyDescent="0.25">
      <c r="A9" s="4" t="s">
        <v>42</v>
      </c>
      <c r="B9" s="4" t="s">
        <v>41</v>
      </c>
      <c r="C9" s="4" t="s">
        <v>362</v>
      </c>
      <c r="D9" s="14">
        <v>38429</v>
      </c>
      <c r="F9" s="4">
        <f t="shared" si="0"/>
        <v>3</v>
      </c>
      <c r="G9" s="4">
        <f t="shared" si="1"/>
        <v>18</v>
      </c>
      <c r="H9" s="4">
        <f t="shared" si="2"/>
        <v>2005</v>
      </c>
      <c r="J9" s="4">
        <v>42.8626</v>
      </c>
      <c r="K9" s="4">
        <v>-69.862099999999998</v>
      </c>
      <c r="L9" s="4">
        <v>2</v>
      </c>
      <c r="M9" s="4" t="s">
        <v>32</v>
      </c>
      <c r="N9" s="4">
        <v>200</v>
      </c>
      <c r="O9" s="4">
        <v>244</v>
      </c>
      <c r="P9" s="4">
        <v>249</v>
      </c>
      <c r="R9" s="4">
        <v>0.44156000000000001</v>
      </c>
      <c r="S9" s="4">
        <v>108</v>
      </c>
      <c r="T9" s="4">
        <v>0.5</v>
      </c>
      <c r="U9" s="6">
        <v>1.6180000000000001</v>
      </c>
      <c r="V9" s="6">
        <f t="shared" si="3"/>
        <v>3.6554814814814818</v>
      </c>
      <c r="W9" s="7">
        <v>30</v>
      </c>
      <c r="X9" s="5">
        <v>38429</v>
      </c>
      <c r="Y9" s="7">
        <v>1222.9368602228462</v>
      </c>
      <c r="Z9" s="7">
        <v>407.64562007428208</v>
      </c>
      <c r="AA9" s="7">
        <v>271.76374671618805</v>
      </c>
      <c r="AB9" s="7">
        <v>135.88187335809403</v>
      </c>
      <c r="AC9" s="7">
        <v>135.88187335809403</v>
      </c>
      <c r="AD9" s="7">
        <v>5027.6293142494787</v>
      </c>
      <c r="AE9" s="7">
        <v>6658.2117945466071</v>
      </c>
      <c r="AF9" s="7">
        <v>1766.4643536552223</v>
      </c>
      <c r="AG9" s="37">
        <f>SUM(AB9:AF9)</f>
        <v>13724.069209167497</v>
      </c>
      <c r="AH9" s="29">
        <f t="shared" ref="AH9:AH10" si="4">SUM(Z9:AF9)</f>
        <v>14403.478575957966</v>
      </c>
      <c r="AI9">
        <f t="shared" ref="AI9:AI10" si="5">1*Z9</f>
        <v>407.64562007428208</v>
      </c>
      <c r="AJ9">
        <f t="shared" ref="AJ9:AJ10" si="6">2*AA9</f>
        <v>543.5274934323761</v>
      </c>
      <c r="AK9">
        <f t="shared" ref="AK9:AK10" si="7">3*AB9</f>
        <v>407.64562007428208</v>
      </c>
      <c r="AL9">
        <f t="shared" ref="AL9:AL10" si="8">4*AC9</f>
        <v>543.5274934323761</v>
      </c>
      <c r="AM9">
        <f t="shared" ref="AM9:AM10" si="9">5*AD9</f>
        <v>25138.146571247395</v>
      </c>
      <c r="AN9">
        <f t="shared" ref="AN9:AN10" si="10">6*(AE9+AF9)</f>
        <v>50548.05688921098</v>
      </c>
      <c r="AO9" s="40">
        <f t="shared" ref="AO9:AO10" si="11">SUM(AI9:AN9)/AH9</f>
        <v>5.3867924528301891</v>
      </c>
    </row>
    <row r="10" spans="1:41" x14ac:dyDescent="0.25">
      <c r="A10" s="4" t="s">
        <v>43</v>
      </c>
      <c r="B10" s="4" t="s">
        <v>44</v>
      </c>
      <c r="C10" s="4" t="s">
        <v>362</v>
      </c>
      <c r="D10" s="14">
        <v>38448</v>
      </c>
      <c r="F10" s="4">
        <f t="shared" si="0"/>
        <v>4</v>
      </c>
      <c r="G10" s="4">
        <f t="shared" si="1"/>
        <v>6</v>
      </c>
      <c r="H10" s="4">
        <f t="shared" si="2"/>
        <v>2005</v>
      </c>
      <c r="J10" s="4">
        <v>42.8626</v>
      </c>
      <c r="K10" s="4">
        <v>-69.862099999999998</v>
      </c>
      <c r="L10" s="4">
        <v>1</v>
      </c>
      <c r="M10" s="4" t="s">
        <v>32</v>
      </c>
      <c r="N10" s="4">
        <v>200</v>
      </c>
      <c r="O10" s="4">
        <v>258</v>
      </c>
      <c r="P10" s="4">
        <v>263</v>
      </c>
      <c r="R10" s="4">
        <v>0.44156000000000001</v>
      </c>
      <c r="S10" s="4">
        <v>114</v>
      </c>
      <c r="T10" s="4">
        <v>0.5</v>
      </c>
      <c r="U10" s="6">
        <v>3.0139999999999998</v>
      </c>
      <c r="V10" s="6">
        <f t="shared" si="3"/>
        <v>6.8211578947368414</v>
      </c>
      <c r="W10" s="7">
        <v>30</v>
      </c>
      <c r="X10" s="5">
        <v>38448</v>
      </c>
      <c r="Y10" s="7">
        <v>6522.3299211885133</v>
      </c>
      <c r="Z10" s="7">
        <v>2174.1099737295044</v>
      </c>
      <c r="AA10" s="7">
        <v>271.76374671618805</v>
      </c>
      <c r="AB10" s="7">
        <v>407.64562007428208</v>
      </c>
      <c r="AC10" s="7">
        <v>271.76374671618805</v>
      </c>
      <c r="AD10" s="7">
        <v>1087.0549868647522</v>
      </c>
      <c r="AE10" s="7">
        <v>8152.9124014856416</v>
      </c>
      <c r="AF10" s="7">
        <v>135.88187335809403</v>
      </c>
      <c r="AG10" s="37">
        <f>SUM(AB10:AF10)</f>
        <v>10055.258628498957</v>
      </c>
      <c r="AH10" s="29">
        <f t="shared" si="4"/>
        <v>12501.132348944649</v>
      </c>
      <c r="AI10">
        <f t="shared" si="5"/>
        <v>2174.1099737295044</v>
      </c>
      <c r="AJ10">
        <f t="shared" si="6"/>
        <v>543.5274934323761</v>
      </c>
      <c r="AK10">
        <f t="shared" si="7"/>
        <v>1222.9368602228462</v>
      </c>
      <c r="AL10">
        <f t="shared" si="8"/>
        <v>1087.0549868647522</v>
      </c>
      <c r="AM10">
        <f t="shared" si="9"/>
        <v>5435.274934323761</v>
      </c>
      <c r="AN10">
        <f t="shared" si="10"/>
        <v>49732.765649062421</v>
      </c>
      <c r="AO10" s="40">
        <f t="shared" si="11"/>
        <v>4.8152173913043486</v>
      </c>
    </row>
    <row r="11" spans="1:41" x14ac:dyDescent="0.25">
      <c r="A11" s="4" t="s">
        <v>45</v>
      </c>
      <c r="B11" s="4" t="s">
        <v>44</v>
      </c>
      <c r="C11" s="4" t="s">
        <v>362</v>
      </c>
      <c r="D11" s="14">
        <v>38448</v>
      </c>
      <c r="E11" s="14"/>
      <c r="F11" s="4">
        <f t="shared" si="0"/>
        <v>4</v>
      </c>
      <c r="G11" s="4">
        <f t="shared" si="1"/>
        <v>6</v>
      </c>
      <c r="H11" s="4">
        <f t="shared" si="2"/>
        <v>2005</v>
      </c>
      <c r="J11" s="4">
        <v>42.8626</v>
      </c>
      <c r="K11" s="4">
        <v>-69.862099999999998</v>
      </c>
      <c r="L11" s="4">
        <v>2</v>
      </c>
      <c r="M11" s="4" t="s">
        <v>32</v>
      </c>
      <c r="N11" s="4">
        <v>200</v>
      </c>
      <c r="O11" s="4">
        <v>258</v>
      </c>
      <c r="P11" s="4">
        <v>263</v>
      </c>
      <c r="R11" s="4">
        <v>0.44156000000000001</v>
      </c>
      <c r="S11" s="4">
        <v>114</v>
      </c>
      <c r="T11" s="4">
        <v>0.5</v>
      </c>
      <c r="U11" s="6">
        <v>3.0139999999999998</v>
      </c>
      <c r="V11" s="6">
        <f t="shared" si="3"/>
        <v>6.8211578947368414</v>
      </c>
      <c r="X11" s="5">
        <v>38448</v>
      </c>
    </row>
    <row r="12" spans="1:41" x14ac:dyDescent="0.25">
      <c r="A12" s="33" t="s">
        <v>46</v>
      </c>
      <c r="B12" s="33" t="s">
        <v>47</v>
      </c>
      <c r="C12" s="4" t="s">
        <v>362</v>
      </c>
      <c r="D12" s="9">
        <v>38482</v>
      </c>
      <c r="E12" s="8"/>
      <c r="F12" s="10">
        <v>5</v>
      </c>
      <c r="G12" s="10">
        <v>10</v>
      </c>
      <c r="H12" s="10">
        <v>2005</v>
      </c>
      <c r="I12" s="10"/>
      <c r="J12" s="4">
        <v>42.862000000000002</v>
      </c>
      <c r="K12" s="4">
        <v>-69.862300000000005</v>
      </c>
      <c r="L12" s="8">
        <v>1</v>
      </c>
      <c r="M12" s="4" t="s">
        <v>32</v>
      </c>
      <c r="N12" s="11">
        <v>200</v>
      </c>
      <c r="O12" s="4">
        <v>256</v>
      </c>
      <c r="P12" s="4">
        <v>261</v>
      </c>
      <c r="Q12" s="12"/>
      <c r="R12" s="4">
        <v>0.44156000000000001</v>
      </c>
      <c r="S12" s="4">
        <v>113</v>
      </c>
      <c r="T12" s="4">
        <v>0.5</v>
      </c>
      <c r="U12" s="4"/>
      <c r="W12" s="7">
        <v>200</v>
      </c>
      <c r="X12" s="9">
        <v>38482</v>
      </c>
      <c r="Y12" s="7">
        <v>143128.90660385904</v>
      </c>
      <c r="Z12" s="7">
        <v>40764.562007428205</v>
      </c>
      <c r="AA12" s="7">
        <v>23552.8580487363</v>
      </c>
      <c r="AB12" s="7">
        <v>15399.945647250657</v>
      </c>
      <c r="AC12" s="7">
        <v>7247.0332457650147</v>
      </c>
      <c r="AD12" s="7">
        <v>2717.6374671618805</v>
      </c>
      <c r="AE12" s="7">
        <v>3623.5166228825074</v>
      </c>
      <c r="AF12" s="7">
        <v>0</v>
      </c>
      <c r="AG12" s="37">
        <f>SUM(AB12:AF12)</f>
        <v>28988.132983060059</v>
      </c>
      <c r="AH12" s="29">
        <f t="shared" ref="AH12:AH13" si="12">SUM(Z12:AF12)</f>
        <v>93305.553039224571</v>
      </c>
      <c r="AI12">
        <f t="shared" ref="AI12:AI13" si="13">1*Z12</f>
        <v>40764.562007428205</v>
      </c>
      <c r="AJ12">
        <f t="shared" ref="AJ12:AJ13" si="14">2*AA12</f>
        <v>47105.716097472599</v>
      </c>
      <c r="AK12">
        <f t="shared" ref="AK12:AK13" si="15">3*AB12</f>
        <v>46199.836941751972</v>
      </c>
      <c r="AL12">
        <f t="shared" ref="AL12:AL13" si="16">4*AC12</f>
        <v>28988.132983060059</v>
      </c>
      <c r="AM12">
        <f t="shared" ref="AM12:AM13" si="17">5*AD12</f>
        <v>13588.187335809402</v>
      </c>
      <c r="AN12">
        <f t="shared" ref="AN12:AN13" si="18">6*(AE12+AF12)</f>
        <v>21741.099737295044</v>
      </c>
      <c r="AO12" s="40">
        <f t="shared" ref="AO12:AO13" si="19">SUM(AI12:AN12)/AH12</f>
        <v>2.1262135922330097</v>
      </c>
    </row>
    <row r="13" spans="1:41" x14ac:dyDescent="0.25">
      <c r="A13" s="4" t="s">
        <v>48</v>
      </c>
      <c r="B13" s="4" t="s">
        <v>49</v>
      </c>
      <c r="C13" s="4" t="s">
        <v>362</v>
      </c>
      <c r="D13" s="14">
        <v>38520</v>
      </c>
      <c r="F13" s="4">
        <f t="shared" ref="F13:F76" si="20">MONTH(D13)</f>
        <v>6</v>
      </c>
      <c r="G13" s="4">
        <f t="shared" ref="G13:G76" si="21">DAY(D13)</f>
        <v>17</v>
      </c>
      <c r="H13" s="4">
        <f t="shared" ref="H13:H76" si="22">YEAR(D13)</f>
        <v>2005</v>
      </c>
      <c r="J13" s="4">
        <v>42.863399999999999</v>
      </c>
      <c r="K13" s="4">
        <v>-69.861800000000002</v>
      </c>
      <c r="L13" s="4">
        <v>1</v>
      </c>
      <c r="M13" s="4" t="s">
        <v>32</v>
      </c>
      <c r="N13" s="4">
        <v>200</v>
      </c>
      <c r="O13" s="4">
        <v>258</v>
      </c>
      <c r="P13" s="4">
        <v>263</v>
      </c>
      <c r="R13" s="4">
        <v>0.44156000000000001</v>
      </c>
      <c r="S13" s="4">
        <v>114</v>
      </c>
      <c r="T13" s="4">
        <v>0.5</v>
      </c>
      <c r="U13" s="6">
        <v>2.944</v>
      </c>
      <c r="V13" s="6">
        <f t="shared" ref="V13:V62" si="23">(U13/S13)*O13</f>
        <v>6.6627368421052626</v>
      </c>
      <c r="W13" s="7">
        <v>160</v>
      </c>
      <c r="X13" s="5">
        <v>38520</v>
      </c>
      <c r="Y13" s="7">
        <v>28988.132983060059</v>
      </c>
      <c r="Z13" s="7">
        <v>8696.4398949180177</v>
      </c>
      <c r="AA13" s="7">
        <v>1449.4066491530027</v>
      </c>
      <c r="AB13" s="7">
        <v>1449.4066491530027</v>
      </c>
      <c r="AC13" s="7">
        <v>724.70332457650136</v>
      </c>
      <c r="AD13" s="7">
        <v>6522.3299211885133</v>
      </c>
      <c r="AE13" s="7">
        <v>724.70332457650136</v>
      </c>
      <c r="AF13" s="7">
        <v>1449.4066491530027</v>
      </c>
      <c r="AG13" s="37">
        <f>SUM(AB13:AF13)</f>
        <v>10870.549868647522</v>
      </c>
      <c r="AH13" s="29">
        <f t="shared" si="12"/>
        <v>21016.396412718543</v>
      </c>
      <c r="AI13">
        <f t="shared" si="13"/>
        <v>8696.4398949180177</v>
      </c>
      <c r="AJ13">
        <f t="shared" si="14"/>
        <v>2898.8132983060054</v>
      </c>
      <c r="AK13">
        <f t="shared" si="15"/>
        <v>4348.2199474590079</v>
      </c>
      <c r="AL13">
        <f t="shared" si="16"/>
        <v>2898.8132983060054</v>
      </c>
      <c r="AM13">
        <f t="shared" si="17"/>
        <v>32611.649605942566</v>
      </c>
      <c r="AN13">
        <f t="shared" si="18"/>
        <v>13044.659842377023</v>
      </c>
      <c r="AO13" s="40">
        <f t="shared" si="19"/>
        <v>3.068965517241379</v>
      </c>
    </row>
    <row r="14" spans="1:41" x14ac:dyDescent="0.25">
      <c r="A14" s="4" t="s">
        <v>50</v>
      </c>
      <c r="B14" s="4" t="s">
        <v>49</v>
      </c>
      <c r="C14" s="4" t="s">
        <v>362</v>
      </c>
      <c r="D14" s="14">
        <v>38520</v>
      </c>
      <c r="E14" s="14"/>
      <c r="F14" s="4">
        <f t="shared" si="20"/>
        <v>6</v>
      </c>
      <c r="G14" s="4">
        <f t="shared" si="21"/>
        <v>17</v>
      </c>
      <c r="H14" s="4">
        <f t="shared" si="22"/>
        <v>2005</v>
      </c>
      <c r="J14" s="4">
        <v>42.863399999999999</v>
      </c>
      <c r="K14" s="4">
        <v>-69.861800000000002</v>
      </c>
      <c r="L14" s="4">
        <v>2</v>
      </c>
      <c r="M14" s="4" t="s">
        <v>32</v>
      </c>
      <c r="N14" s="4">
        <v>200</v>
      </c>
      <c r="O14" s="4">
        <v>258</v>
      </c>
      <c r="P14" s="4">
        <v>263</v>
      </c>
      <c r="R14" s="4">
        <v>0.44156000000000001</v>
      </c>
      <c r="S14" s="4">
        <v>114</v>
      </c>
      <c r="T14" s="4">
        <v>0.5</v>
      </c>
      <c r="U14" s="6">
        <v>3.27</v>
      </c>
      <c r="V14" s="6">
        <f t="shared" si="23"/>
        <v>7.4005263157894738</v>
      </c>
      <c r="X14" s="5">
        <v>38520</v>
      </c>
    </row>
    <row r="15" spans="1:41" x14ac:dyDescent="0.25">
      <c r="A15" s="4" t="s">
        <v>51</v>
      </c>
      <c r="B15" s="4" t="s">
        <v>52</v>
      </c>
      <c r="C15" s="4" t="s">
        <v>362</v>
      </c>
      <c r="D15" s="14">
        <v>38548</v>
      </c>
      <c r="E15" s="14"/>
      <c r="F15" s="4">
        <f t="shared" si="20"/>
        <v>7</v>
      </c>
      <c r="G15" s="4">
        <f t="shared" si="21"/>
        <v>15</v>
      </c>
      <c r="H15" s="4">
        <f t="shared" si="22"/>
        <v>2005</v>
      </c>
      <c r="J15" s="4">
        <v>42.863399999999999</v>
      </c>
      <c r="K15" s="4">
        <v>-69.861800000000002</v>
      </c>
      <c r="L15" s="4">
        <v>1</v>
      </c>
      <c r="M15" s="4" t="s">
        <v>32</v>
      </c>
      <c r="N15" s="4">
        <v>200</v>
      </c>
      <c r="O15" s="4">
        <v>250</v>
      </c>
      <c r="P15" s="4">
        <v>255</v>
      </c>
      <c r="R15" s="4">
        <v>0.44156000000000001</v>
      </c>
      <c r="S15" s="4">
        <v>110</v>
      </c>
      <c r="T15" s="4">
        <v>0.5</v>
      </c>
      <c r="U15" s="6">
        <v>4.1420000000000003</v>
      </c>
      <c r="V15" s="6">
        <f t="shared" si="23"/>
        <v>9.413636363636364</v>
      </c>
      <c r="X15" s="5">
        <v>38548</v>
      </c>
    </row>
    <row r="16" spans="1:41" x14ac:dyDescent="0.25">
      <c r="A16" s="4" t="s">
        <v>53</v>
      </c>
      <c r="B16" s="4" t="s">
        <v>52</v>
      </c>
      <c r="C16" s="4" t="s">
        <v>362</v>
      </c>
      <c r="D16" s="14">
        <v>38548</v>
      </c>
      <c r="F16" s="4">
        <f t="shared" si="20"/>
        <v>7</v>
      </c>
      <c r="G16" s="4">
        <f t="shared" si="21"/>
        <v>15</v>
      </c>
      <c r="H16" s="4">
        <f t="shared" si="22"/>
        <v>2005</v>
      </c>
      <c r="J16" s="4">
        <v>42.863399999999999</v>
      </c>
      <c r="K16" s="4">
        <v>-69.861800000000002</v>
      </c>
      <c r="L16" s="4">
        <v>2</v>
      </c>
      <c r="M16" s="4" t="s">
        <v>32</v>
      </c>
      <c r="N16" s="4">
        <v>200</v>
      </c>
      <c r="O16" s="4">
        <v>250</v>
      </c>
      <c r="P16" s="4">
        <v>255</v>
      </c>
      <c r="R16" s="4">
        <v>0.44156000000000001</v>
      </c>
      <c r="S16" s="4">
        <v>110</v>
      </c>
      <c r="T16" s="4">
        <v>0.5</v>
      </c>
      <c r="U16" s="6">
        <v>4.9480000000000004</v>
      </c>
      <c r="V16" s="6">
        <f t="shared" si="23"/>
        <v>11.245454545454546</v>
      </c>
      <c r="W16" s="7">
        <v>70</v>
      </c>
      <c r="X16" s="5">
        <v>38548</v>
      </c>
      <c r="Y16" s="7">
        <v>4121.7501585288519</v>
      </c>
      <c r="Z16" s="7">
        <v>951.17311350665818</v>
      </c>
      <c r="AA16" s="7">
        <v>634.1154090044389</v>
      </c>
      <c r="AB16" s="7">
        <v>4121.7501585288519</v>
      </c>
      <c r="AC16" s="7">
        <v>11731.135066582117</v>
      </c>
      <c r="AD16" s="7">
        <v>28852.251109701967</v>
      </c>
      <c r="AE16" s="7">
        <v>634.1154090044389</v>
      </c>
      <c r="AF16" s="7">
        <v>317.05770450221945</v>
      </c>
      <c r="AG16" s="37">
        <f t="shared" ref="AG16:AG72" si="24">SUM(AB16:AF16)</f>
        <v>45656.309448319596</v>
      </c>
      <c r="AH16" s="29">
        <f>SUM(Z16:AF16)</f>
        <v>47241.597970830691</v>
      </c>
      <c r="AI16">
        <f>1*Z16</f>
        <v>951.17311350665818</v>
      </c>
      <c r="AJ16">
        <f>2*AA16</f>
        <v>1268.2308180088778</v>
      </c>
      <c r="AK16">
        <f>3*AB16</f>
        <v>12365.250475586556</v>
      </c>
      <c r="AL16">
        <f>4*AC16</f>
        <v>46924.540266328469</v>
      </c>
      <c r="AM16">
        <f>5*AD16</f>
        <v>144261.25554850983</v>
      </c>
      <c r="AN16">
        <f>6*(AE16+AF16)</f>
        <v>5707.0386810399505</v>
      </c>
      <c r="AO16" s="40">
        <f>SUM(AI16:AN16)/AH16</f>
        <v>4.476510067114094</v>
      </c>
    </row>
    <row r="17" spans="1:41" x14ac:dyDescent="0.25">
      <c r="A17" s="4" t="s">
        <v>54</v>
      </c>
      <c r="B17" s="4" t="s">
        <v>55</v>
      </c>
      <c r="C17" s="4" t="s">
        <v>362</v>
      </c>
      <c r="D17" s="14">
        <v>38580</v>
      </c>
      <c r="E17" s="14"/>
      <c r="F17" s="4">
        <f t="shared" si="20"/>
        <v>8</v>
      </c>
      <c r="G17" s="4">
        <f t="shared" si="21"/>
        <v>16</v>
      </c>
      <c r="H17" s="4">
        <f t="shared" si="22"/>
        <v>2005</v>
      </c>
      <c r="J17" s="4">
        <v>42.863399999999999</v>
      </c>
      <c r="K17" s="4">
        <v>-69.861800000000002</v>
      </c>
      <c r="L17" s="4">
        <v>1</v>
      </c>
      <c r="M17" s="4" t="s">
        <v>32</v>
      </c>
      <c r="N17" s="4">
        <v>200</v>
      </c>
      <c r="O17" s="4">
        <v>253</v>
      </c>
      <c r="P17" s="4">
        <v>258</v>
      </c>
      <c r="R17" s="4">
        <v>0.44156000000000001</v>
      </c>
      <c r="S17" s="4">
        <v>112</v>
      </c>
      <c r="T17" s="4">
        <v>0.5</v>
      </c>
      <c r="U17" s="6">
        <v>7.7480000000000002</v>
      </c>
      <c r="V17" s="6">
        <f t="shared" si="23"/>
        <v>17.502178571428573</v>
      </c>
      <c r="X17" s="5">
        <v>38580</v>
      </c>
      <c r="AG17" s="37"/>
    </row>
    <row r="18" spans="1:41" x14ac:dyDescent="0.25">
      <c r="A18" s="4" t="s">
        <v>56</v>
      </c>
      <c r="B18" s="4" t="s">
        <v>55</v>
      </c>
      <c r="C18" s="4" t="s">
        <v>362</v>
      </c>
      <c r="D18" s="14">
        <v>38580</v>
      </c>
      <c r="F18" s="4">
        <f t="shared" si="20"/>
        <v>8</v>
      </c>
      <c r="G18" s="4">
        <f t="shared" si="21"/>
        <v>16</v>
      </c>
      <c r="H18" s="4">
        <f t="shared" si="22"/>
        <v>2005</v>
      </c>
      <c r="J18" s="4">
        <v>42.863399999999999</v>
      </c>
      <c r="K18" s="4">
        <v>-69.861800000000002</v>
      </c>
      <c r="L18" s="4">
        <v>2</v>
      </c>
      <c r="M18" s="4" t="s">
        <v>32</v>
      </c>
      <c r="N18" s="4">
        <v>200</v>
      </c>
      <c r="O18" s="4">
        <v>253</v>
      </c>
      <c r="P18" s="4">
        <v>258</v>
      </c>
      <c r="R18" s="4">
        <v>0.44156000000000001</v>
      </c>
      <c r="S18" s="4">
        <v>112</v>
      </c>
      <c r="T18" s="4">
        <v>0.5</v>
      </c>
      <c r="U18" s="6">
        <v>6.9119999999999999</v>
      </c>
      <c r="V18" s="6">
        <f t="shared" si="23"/>
        <v>15.613714285714286</v>
      </c>
      <c r="W18" s="7">
        <v>120</v>
      </c>
      <c r="X18" s="5">
        <v>38580</v>
      </c>
      <c r="Y18" s="7">
        <v>1630.5824802971285</v>
      </c>
      <c r="Z18" s="7">
        <v>543.5274934323761</v>
      </c>
      <c r="AA18" s="7">
        <v>543.5274934323761</v>
      </c>
      <c r="AB18" s="7">
        <v>543.5274934323761</v>
      </c>
      <c r="AC18" s="7">
        <v>2174.1099737295044</v>
      </c>
      <c r="AD18" s="7">
        <v>42395.144487725338</v>
      </c>
      <c r="AE18" s="7">
        <v>0</v>
      </c>
      <c r="AF18" s="7">
        <v>1087.0549868647522</v>
      </c>
      <c r="AG18" s="37">
        <f t="shared" si="24"/>
        <v>46199.836941751972</v>
      </c>
      <c r="AH18" s="29">
        <f>SUM(Z18:AF18)</f>
        <v>47286.891928616722</v>
      </c>
      <c r="AI18">
        <f>1*Z18</f>
        <v>543.5274934323761</v>
      </c>
      <c r="AJ18">
        <f>2*AA18</f>
        <v>1087.0549868647522</v>
      </c>
      <c r="AK18">
        <f>3*AB18</f>
        <v>1630.5824802971283</v>
      </c>
      <c r="AL18">
        <f>4*AC18</f>
        <v>8696.4398949180177</v>
      </c>
      <c r="AM18">
        <f>5*AD18</f>
        <v>211975.72243862669</v>
      </c>
      <c r="AN18">
        <f>6*(AE18+AF18)</f>
        <v>6522.3299211885133</v>
      </c>
      <c r="AO18" s="40">
        <f>SUM(AI18:AN18)/AH18</f>
        <v>4.873563218390804</v>
      </c>
    </row>
    <row r="19" spans="1:41" x14ac:dyDescent="0.25">
      <c r="A19" s="4" t="s">
        <v>57</v>
      </c>
      <c r="B19" s="4" t="s">
        <v>58</v>
      </c>
      <c r="C19" s="4" t="s">
        <v>362</v>
      </c>
      <c r="D19" s="14">
        <v>38608</v>
      </c>
      <c r="E19" s="14"/>
      <c r="F19" s="4">
        <f t="shared" si="20"/>
        <v>9</v>
      </c>
      <c r="G19" s="4">
        <f t="shared" si="21"/>
        <v>13</v>
      </c>
      <c r="H19" s="4">
        <f t="shared" si="22"/>
        <v>2005</v>
      </c>
      <c r="J19" s="4">
        <v>42.863399999999999</v>
      </c>
      <c r="K19" s="4">
        <v>-69.861800000000002</v>
      </c>
      <c r="L19" s="4">
        <v>1</v>
      </c>
      <c r="M19" s="4" t="s">
        <v>32</v>
      </c>
      <c r="N19" s="4">
        <v>200</v>
      </c>
      <c r="O19" s="4">
        <v>255</v>
      </c>
      <c r="P19" s="4">
        <v>260</v>
      </c>
      <c r="R19" s="4">
        <v>0.44156000000000001</v>
      </c>
      <c r="S19" s="4">
        <v>113</v>
      </c>
      <c r="T19" s="4">
        <v>0.5</v>
      </c>
      <c r="U19" s="6">
        <v>8.8059999999999992</v>
      </c>
      <c r="V19" s="6">
        <f t="shared" si="23"/>
        <v>19.871946902654866</v>
      </c>
      <c r="X19" s="5">
        <v>38608</v>
      </c>
      <c r="AG19" s="37"/>
    </row>
    <row r="20" spans="1:41" x14ac:dyDescent="0.25">
      <c r="A20" s="4" t="s">
        <v>59</v>
      </c>
      <c r="B20" s="4" t="s">
        <v>58</v>
      </c>
      <c r="C20" s="4" t="s">
        <v>362</v>
      </c>
      <c r="D20" s="14">
        <v>38608</v>
      </c>
      <c r="F20" s="4">
        <f t="shared" si="20"/>
        <v>9</v>
      </c>
      <c r="G20" s="4">
        <f t="shared" si="21"/>
        <v>13</v>
      </c>
      <c r="H20" s="4">
        <f t="shared" si="22"/>
        <v>2005</v>
      </c>
      <c r="J20" s="4">
        <v>42.863399999999999</v>
      </c>
      <c r="K20" s="4">
        <v>-69.861800000000002</v>
      </c>
      <c r="L20" s="4">
        <v>2</v>
      </c>
      <c r="M20" s="4" t="s">
        <v>32</v>
      </c>
      <c r="N20" s="4">
        <v>200</v>
      </c>
      <c r="O20" s="4">
        <v>255</v>
      </c>
      <c r="P20" s="4">
        <v>260</v>
      </c>
      <c r="R20" s="4">
        <v>0.44156000000000001</v>
      </c>
      <c r="S20" s="4">
        <v>113</v>
      </c>
      <c r="T20" s="4">
        <v>0.5</v>
      </c>
      <c r="U20" s="6">
        <v>9.01</v>
      </c>
      <c r="V20" s="6">
        <f t="shared" si="23"/>
        <v>20.332300884955753</v>
      </c>
      <c r="W20" s="7">
        <v>180</v>
      </c>
      <c r="X20" s="5">
        <v>38608</v>
      </c>
      <c r="Y20" s="7">
        <v>815.29124014856416</v>
      </c>
      <c r="Z20" s="7">
        <v>0</v>
      </c>
      <c r="AA20" s="7">
        <v>0</v>
      </c>
      <c r="AB20" s="7">
        <v>0</v>
      </c>
      <c r="AC20" s="7">
        <v>4076.4562007428208</v>
      </c>
      <c r="AD20" s="7">
        <v>52993.930609656665</v>
      </c>
      <c r="AE20" s="7">
        <v>1630.5824802971283</v>
      </c>
      <c r="AF20" s="7">
        <v>0</v>
      </c>
      <c r="AG20" s="37">
        <f t="shared" si="24"/>
        <v>58700.969290696608</v>
      </c>
      <c r="AH20" s="29">
        <f t="shared" ref="AH20:AH21" si="25">SUM(Z20:AF20)</f>
        <v>58700.969290696608</v>
      </c>
      <c r="AI20">
        <f t="shared" ref="AI20:AI21" si="26">1*Z20</f>
        <v>0</v>
      </c>
      <c r="AJ20">
        <f t="shared" ref="AJ20:AJ21" si="27">2*AA20</f>
        <v>0</v>
      </c>
      <c r="AK20">
        <f t="shared" ref="AK20:AK21" si="28">3*AB20</f>
        <v>0</v>
      </c>
      <c r="AL20">
        <f t="shared" ref="AL20:AL21" si="29">4*AC20</f>
        <v>16305.824802971283</v>
      </c>
      <c r="AM20">
        <f t="shared" ref="AM20:AM21" si="30">5*AD20</f>
        <v>264969.6530482833</v>
      </c>
      <c r="AN20">
        <f t="shared" ref="AN20:AN21" si="31">6*(AE20+AF20)</f>
        <v>9783.4948817827699</v>
      </c>
      <c r="AO20" s="40">
        <f t="shared" ref="AO20:AO21" si="32">SUM(AI20:AN20)/AH20</f>
        <v>4.9583333333333339</v>
      </c>
    </row>
    <row r="21" spans="1:41" x14ac:dyDescent="0.25">
      <c r="A21" s="4" t="s">
        <v>60</v>
      </c>
      <c r="B21" s="4" t="s">
        <v>61</v>
      </c>
      <c r="C21" s="4" t="s">
        <v>362</v>
      </c>
      <c r="D21" s="14">
        <v>38645</v>
      </c>
      <c r="F21" s="4">
        <f t="shared" si="20"/>
        <v>10</v>
      </c>
      <c r="G21" s="4">
        <f t="shared" si="21"/>
        <v>20</v>
      </c>
      <c r="H21" s="4">
        <f t="shared" si="22"/>
        <v>2005</v>
      </c>
      <c r="J21" s="4">
        <v>42.861199999999997</v>
      </c>
      <c r="K21" s="4">
        <v>-69.860399999999998</v>
      </c>
      <c r="L21" s="4">
        <v>1</v>
      </c>
      <c r="M21" s="4" t="s">
        <v>32</v>
      </c>
      <c r="N21" s="4">
        <v>200</v>
      </c>
      <c r="O21" s="4">
        <v>251</v>
      </c>
      <c r="P21" s="4">
        <v>256</v>
      </c>
      <c r="R21" s="4">
        <v>0.44156000000000001</v>
      </c>
      <c r="S21" s="4">
        <v>111</v>
      </c>
      <c r="T21" s="4">
        <v>0.5</v>
      </c>
      <c r="U21" s="6">
        <v>12.37</v>
      </c>
      <c r="V21" s="6">
        <f t="shared" si="23"/>
        <v>27.971801801801803</v>
      </c>
      <c r="W21" s="7">
        <v>140</v>
      </c>
      <c r="X21" s="5">
        <v>38645</v>
      </c>
      <c r="Y21" s="7">
        <v>0</v>
      </c>
      <c r="Z21" s="7">
        <v>0</v>
      </c>
      <c r="AA21" s="7">
        <v>0</v>
      </c>
      <c r="AB21" s="7">
        <v>0</v>
      </c>
      <c r="AC21" s="7">
        <v>3170.5770450221944</v>
      </c>
      <c r="AD21" s="7">
        <v>77362.079898541546</v>
      </c>
      <c r="AE21" s="7">
        <v>2536.4616360177552</v>
      </c>
      <c r="AF21" s="7">
        <v>0</v>
      </c>
      <c r="AG21" s="37">
        <f t="shared" si="24"/>
        <v>83069.118579581496</v>
      </c>
      <c r="AH21" s="29">
        <f t="shared" si="25"/>
        <v>83069.118579581496</v>
      </c>
      <c r="AI21">
        <f t="shared" si="26"/>
        <v>0</v>
      </c>
      <c r="AJ21">
        <f t="shared" si="27"/>
        <v>0</v>
      </c>
      <c r="AK21">
        <f t="shared" si="28"/>
        <v>0</v>
      </c>
      <c r="AL21">
        <f t="shared" si="29"/>
        <v>12682.308180088778</v>
      </c>
      <c r="AM21">
        <f t="shared" si="30"/>
        <v>386810.39949270774</v>
      </c>
      <c r="AN21">
        <f t="shared" si="31"/>
        <v>15218.769816106531</v>
      </c>
      <c r="AO21" s="40">
        <f t="shared" si="32"/>
        <v>4.9923664122137401</v>
      </c>
    </row>
    <row r="22" spans="1:41" x14ac:dyDescent="0.25">
      <c r="A22" s="4" t="s">
        <v>62</v>
      </c>
      <c r="B22" s="4" t="s">
        <v>61</v>
      </c>
      <c r="C22" s="4" t="s">
        <v>362</v>
      </c>
      <c r="D22" s="14">
        <v>38645</v>
      </c>
      <c r="E22" s="14"/>
      <c r="F22" s="4">
        <f t="shared" si="20"/>
        <v>10</v>
      </c>
      <c r="G22" s="4">
        <f t="shared" si="21"/>
        <v>20</v>
      </c>
      <c r="H22" s="4">
        <f t="shared" si="22"/>
        <v>2005</v>
      </c>
      <c r="J22" s="4">
        <v>42.861199999999997</v>
      </c>
      <c r="K22" s="4">
        <v>-69.860399999999998</v>
      </c>
      <c r="L22" s="4">
        <v>2</v>
      </c>
      <c r="M22" s="4" t="s">
        <v>32</v>
      </c>
      <c r="N22" s="4">
        <v>200</v>
      </c>
      <c r="O22" s="4">
        <v>251</v>
      </c>
      <c r="P22" s="4">
        <v>256</v>
      </c>
      <c r="R22" s="4">
        <v>0.44156000000000001</v>
      </c>
      <c r="S22" s="4">
        <v>111</v>
      </c>
      <c r="T22" s="4">
        <v>0.5</v>
      </c>
      <c r="U22" s="6">
        <v>9.94</v>
      </c>
      <c r="V22" s="6">
        <f t="shared" si="23"/>
        <v>22.476936936936937</v>
      </c>
      <c r="X22" s="5">
        <v>38645</v>
      </c>
      <c r="AG22" s="37"/>
    </row>
    <row r="23" spans="1:41" x14ac:dyDescent="0.25">
      <c r="A23" s="4" t="s">
        <v>63</v>
      </c>
      <c r="B23" s="4" t="s">
        <v>64</v>
      </c>
      <c r="C23" s="4" t="s">
        <v>362</v>
      </c>
      <c r="D23" s="14">
        <v>38757</v>
      </c>
      <c r="F23" s="4">
        <f t="shared" si="20"/>
        <v>2</v>
      </c>
      <c r="G23" s="4">
        <f t="shared" si="21"/>
        <v>9</v>
      </c>
      <c r="H23" s="4">
        <f t="shared" si="22"/>
        <v>2006</v>
      </c>
      <c r="J23" s="4">
        <v>42.864600000000003</v>
      </c>
      <c r="K23" s="4">
        <v>-69.863200000000006</v>
      </c>
      <c r="L23" s="4">
        <v>1</v>
      </c>
      <c r="M23" s="4" t="s">
        <v>32</v>
      </c>
      <c r="N23" s="4">
        <v>200</v>
      </c>
      <c r="O23" s="4">
        <v>251</v>
      </c>
      <c r="P23" s="4">
        <v>256</v>
      </c>
      <c r="R23" s="4">
        <v>0.44156000000000001</v>
      </c>
      <c r="S23" s="4">
        <v>111</v>
      </c>
      <c r="T23" s="4">
        <v>0.5</v>
      </c>
      <c r="U23" s="6">
        <v>4.0599999999999996</v>
      </c>
      <c r="V23" s="6">
        <f t="shared" si="23"/>
        <v>9.1807207207207195</v>
      </c>
      <c r="W23" s="7">
        <v>35</v>
      </c>
      <c r="X23" s="5">
        <v>38757</v>
      </c>
      <c r="Y23" s="7">
        <v>158.5288522511097</v>
      </c>
      <c r="Z23" s="7">
        <v>0</v>
      </c>
      <c r="AA23" s="7">
        <v>0</v>
      </c>
      <c r="AB23" s="7">
        <v>0</v>
      </c>
      <c r="AC23" s="7">
        <v>475.58655675332915</v>
      </c>
      <c r="AD23" s="7">
        <v>17279.644895370959</v>
      </c>
      <c r="AE23" s="7">
        <v>6499.6829422954979</v>
      </c>
      <c r="AF23" s="7">
        <v>5231.4521242866203</v>
      </c>
      <c r="AG23" s="37">
        <f t="shared" si="24"/>
        <v>29486.366518706407</v>
      </c>
      <c r="AH23" s="29">
        <f>SUM(Z23:AF23)</f>
        <v>29486.366518706407</v>
      </c>
      <c r="AI23">
        <f>1*Z23</f>
        <v>0</v>
      </c>
      <c r="AJ23">
        <f>2*AA23</f>
        <v>0</v>
      </c>
      <c r="AK23">
        <f>3*AB23</f>
        <v>0</v>
      </c>
      <c r="AL23">
        <f>4*AC23</f>
        <v>1902.3462270133166</v>
      </c>
      <c r="AM23">
        <f>5*AD23</f>
        <v>86398.224476854797</v>
      </c>
      <c r="AN23">
        <f>6*(AE23+AF23)</f>
        <v>70386.810399492708</v>
      </c>
      <c r="AO23" s="40">
        <f>SUM(AI23:AN23)/AH23</f>
        <v>5.381720430107527</v>
      </c>
    </row>
    <row r="24" spans="1:41" x14ac:dyDescent="0.25">
      <c r="A24" s="4" t="s">
        <v>65</v>
      </c>
      <c r="B24" s="4" t="s">
        <v>64</v>
      </c>
      <c r="C24" s="4" t="s">
        <v>362</v>
      </c>
      <c r="D24" s="14">
        <v>38757</v>
      </c>
      <c r="E24" s="14"/>
      <c r="F24" s="4">
        <f t="shared" si="20"/>
        <v>2</v>
      </c>
      <c r="G24" s="4">
        <f t="shared" si="21"/>
        <v>9</v>
      </c>
      <c r="H24" s="4">
        <f t="shared" si="22"/>
        <v>2006</v>
      </c>
      <c r="J24" s="4">
        <v>42.864600000000003</v>
      </c>
      <c r="K24" s="4">
        <v>-69.863200000000006</v>
      </c>
      <c r="L24" s="4">
        <v>2</v>
      </c>
      <c r="M24" s="4" t="s">
        <v>32</v>
      </c>
      <c r="N24" s="4">
        <v>200</v>
      </c>
      <c r="O24" s="4">
        <v>251</v>
      </c>
      <c r="P24" s="4">
        <v>256</v>
      </c>
      <c r="R24" s="4">
        <v>0.44156000000000001</v>
      </c>
      <c r="S24" s="4">
        <v>111</v>
      </c>
      <c r="T24" s="4">
        <v>0.5</v>
      </c>
      <c r="U24" s="6">
        <v>5.29</v>
      </c>
      <c r="V24" s="6">
        <f t="shared" si="23"/>
        <v>11.962072072072072</v>
      </c>
      <c r="X24" s="5">
        <v>38757</v>
      </c>
      <c r="AG24" s="37"/>
    </row>
    <row r="25" spans="1:41" x14ac:dyDescent="0.25">
      <c r="A25" s="4" t="s">
        <v>66</v>
      </c>
      <c r="B25" s="4" t="s">
        <v>67</v>
      </c>
      <c r="C25" s="4" t="s">
        <v>362</v>
      </c>
      <c r="D25" s="14">
        <v>38798</v>
      </c>
      <c r="F25" s="4">
        <f t="shared" si="20"/>
        <v>3</v>
      </c>
      <c r="G25" s="4">
        <f t="shared" si="21"/>
        <v>22</v>
      </c>
      <c r="H25" s="4">
        <f t="shared" si="22"/>
        <v>2006</v>
      </c>
      <c r="J25" s="4">
        <v>42.8626</v>
      </c>
      <c r="K25" s="4">
        <v>-69.862099999999998</v>
      </c>
      <c r="L25" s="4">
        <v>1</v>
      </c>
      <c r="M25" s="4" t="s">
        <v>32</v>
      </c>
      <c r="N25" s="4">
        <v>200</v>
      </c>
      <c r="O25" s="4">
        <v>252</v>
      </c>
      <c r="P25" s="4">
        <v>257</v>
      </c>
      <c r="R25" s="4">
        <v>0.44156000000000001</v>
      </c>
      <c r="S25" s="4">
        <v>111</v>
      </c>
      <c r="T25" s="4">
        <v>0.5</v>
      </c>
      <c r="U25" s="6">
        <v>1.82</v>
      </c>
      <c r="V25" s="6">
        <f t="shared" si="23"/>
        <v>4.1318918918918914</v>
      </c>
      <c r="W25" s="7">
        <v>20</v>
      </c>
      <c r="X25" s="5">
        <v>38798</v>
      </c>
      <c r="Y25" s="7">
        <v>634.11540900443879</v>
      </c>
      <c r="Z25" s="7">
        <v>181.17583114412537</v>
      </c>
      <c r="AA25" s="7">
        <v>181.17583114412537</v>
      </c>
      <c r="AB25" s="7">
        <v>90.587915572062684</v>
      </c>
      <c r="AC25" s="7">
        <v>0</v>
      </c>
      <c r="AD25" s="7">
        <v>996.46707129268952</v>
      </c>
      <c r="AE25" s="7">
        <v>3623.5166228825074</v>
      </c>
      <c r="AF25" s="7">
        <v>1268.2308180088776</v>
      </c>
      <c r="AG25" s="37">
        <f t="shared" si="24"/>
        <v>5978.8024277561371</v>
      </c>
      <c r="AH25" s="29">
        <f t="shared" ref="AH25:AH26" si="33">SUM(Z25:AF25)</f>
        <v>6341.1540900443879</v>
      </c>
      <c r="AI25">
        <f t="shared" ref="AI25:AI26" si="34">1*Z25</f>
        <v>181.17583114412537</v>
      </c>
      <c r="AJ25">
        <f t="shared" ref="AJ25:AJ26" si="35">2*AA25</f>
        <v>362.35166228825074</v>
      </c>
      <c r="AK25">
        <f t="shared" ref="AK25:AK26" si="36">3*AB25</f>
        <v>271.76374671618805</v>
      </c>
      <c r="AL25">
        <f t="shared" ref="AL25:AL26" si="37">4*AC25</f>
        <v>0</v>
      </c>
      <c r="AM25">
        <f t="shared" ref="AM25:AM26" si="38">5*AD25</f>
        <v>4982.3353564634472</v>
      </c>
      <c r="AN25">
        <f t="shared" ref="AN25:AN26" si="39">6*(AE25+AF25)</f>
        <v>29350.484645348311</v>
      </c>
      <c r="AO25" s="40">
        <f t="shared" ref="AO25:AO26" si="40">SUM(AI25:AN25)/AH25</f>
        <v>5.5428571428571427</v>
      </c>
    </row>
    <row r="26" spans="1:41" x14ac:dyDescent="0.25">
      <c r="A26" s="4" t="s">
        <v>68</v>
      </c>
      <c r="B26" s="4" t="s">
        <v>69</v>
      </c>
      <c r="C26" s="4" t="s">
        <v>362</v>
      </c>
      <c r="D26" s="14">
        <v>38845</v>
      </c>
      <c r="F26" s="4">
        <f t="shared" si="20"/>
        <v>5</v>
      </c>
      <c r="G26" s="4">
        <f t="shared" si="21"/>
        <v>8</v>
      </c>
      <c r="H26" s="4">
        <f t="shared" si="22"/>
        <v>2006</v>
      </c>
      <c r="J26" s="4">
        <v>42.862099999999998</v>
      </c>
      <c r="K26" s="4">
        <v>-69.862300000000005</v>
      </c>
      <c r="L26" s="4">
        <v>1</v>
      </c>
      <c r="M26" s="4" t="s">
        <v>32</v>
      </c>
      <c r="N26" s="4">
        <v>200</v>
      </c>
      <c r="O26" s="4">
        <v>247</v>
      </c>
      <c r="P26" s="4">
        <v>252</v>
      </c>
      <c r="R26" s="4">
        <v>0.44156000000000001</v>
      </c>
      <c r="S26" s="4">
        <v>109</v>
      </c>
      <c r="T26" s="4">
        <v>0.5</v>
      </c>
      <c r="U26" s="6">
        <v>3.8540000000000001</v>
      </c>
      <c r="V26" s="6">
        <f t="shared" si="23"/>
        <v>8.7333761467889914</v>
      </c>
      <c r="W26" s="7">
        <v>100</v>
      </c>
      <c r="X26" s="5">
        <v>38845</v>
      </c>
      <c r="Y26" s="7">
        <v>42123.380741009154</v>
      </c>
      <c r="Z26" s="7">
        <v>11776.42902436815</v>
      </c>
      <c r="AA26" s="7">
        <v>5888.2145121840749</v>
      </c>
      <c r="AB26" s="7">
        <v>9511.7311350665823</v>
      </c>
      <c r="AC26" s="7">
        <v>7699.9728236253286</v>
      </c>
      <c r="AD26" s="7">
        <v>8152.9124014856425</v>
      </c>
      <c r="AE26" s="7">
        <v>905.87915572062684</v>
      </c>
      <c r="AF26" s="7">
        <v>0</v>
      </c>
      <c r="AG26" s="37">
        <f t="shared" si="24"/>
        <v>26270.495515898183</v>
      </c>
      <c r="AH26" s="29">
        <f t="shared" si="33"/>
        <v>43935.13905245041</v>
      </c>
      <c r="AI26">
        <f t="shared" si="34"/>
        <v>11776.42902436815</v>
      </c>
      <c r="AJ26">
        <f t="shared" si="35"/>
        <v>11776.42902436815</v>
      </c>
      <c r="AK26">
        <f t="shared" si="36"/>
        <v>28535.193405199745</v>
      </c>
      <c r="AL26">
        <f t="shared" si="37"/>
        <v>30799.891294501314</v>
      </c>
      <c r="AM26">
        <f t="shared" si="38"/>
        <v>40764.562007428212</v>
      </c>
      <c r="AN26">
        <f t="shared" si="39"/>
        <v>5435.274934323761</v>
      </c>
      <c r="AO26" s="40">
        <f t="shared" si="40"/>
        <v>2.938144329896907</v>
      </c>
    </row>
    <row r="27" spans="1:41" x14ac:dyDescent="0.25">
      <c r="A27" s="4" t="s">
        <v>70</v>
      </c>
      <c r="B27" s="4" t="s">
        <v>69</v>
      </c>
      <c r="C27" s="4" t="s">
        <v>362</v>
      </c>
      <c r="D27" s="14">
        <v>38845</v>
      </c>
      <c r="E27" s="14"/>
      <c r="F27" s="4">
        <f t="shared" si="20"/>
        <v>5</v>
      </c>
      <c r="G27" s="4">
        <f t="shared" si="21"/>
        <v>8</v>
      </c>
      <c r="H27" s="4">
        <f t="shared" si="22"/>
        <v>2006</v>
      </c>
      <c r="J27" s="4">
        <v>42.862099999999998</v>
      </c>
      <c r="K27" s="4">
        <v>-69.862300000000005</v>
      </c>
      <c r="L27" s="4">
        <v>2</v>
      </c>
      <c r="M27" s="4" t="s">
        <v>32</v>
      </c>
      <c r="N27" s="4">
        <v>200</v>
      </c>
      <c r="O27" s="4">
        <v>247</v>
      </c>
      <c r="P27" s="4">
        <v>252</v>
      </c>
      <c r="R27" s="4">
        <v>0.44156000000000001</v>
      </c>
      <c r="S27" s="4">
        <v>109</v>
      </c>
      <c r="T27" s="4">
        <v>0.5</v>
      </c>
      <c r="U27" s="6">
        <v>8.6960000000000104</v>
      </c>
      <c r="V27" s="6">
        <f t="shared" si="23"/>
        <v>19.705614678899106</v>
      </c>
      <c r="X27" s="5">
        <v>38845</v>
      </c>
      <c r="AG27" s="37"/>
    </row>
    <row r="28" spans="1:41" x14ac:dyDescent="0.25">
      <c r="A28" s="4" t="s">
        <v>71</v>
      </c>
      <c r="B28" s="4" t="s">
        <v>72</v>
      </c>
      <c r="C28" s="4" t="s">
        <v>362</v>
      </c>
      <c r="D28" s="14">
        <v>38874</v>
      </c>
      <c r="F28" s="4">
        <f t="shared" si="20"/>
        <v>6</v>
      </c>
      <c r="G28" s="4">
        <f t="shared" si="21"/>
        <v>6</v>
      </c>
      <c r="H28" s="4">
        <f t="shared" si="22"/>
        <v>2006</v>
      </c>
      <c r="J28" s="4">
        <v>42.863399999999999</v>
      </c>
      <c r="K28" s="4">
        <v>-69.861800000000002</v>
      </c>
      <c r="L28" s="4">
        <v>1</v>
      </c>
      <c r="M28" s="4" t="s">
        <v>32</v>
      </c>
      <c r="N28" s="4">
        <v>200</v>
      </c>
      <c r="O28" s="4">
        <v>251</v>
      </c>
      <c r="P28" s="4">
        <v>256</v>
      </c>
      <c r="R28" s="4">
        <v>0.44156000000000001</v>
      </c>
      <c r="S28" s="4">
        <v>111</v>
      </c>
      <c r="T28" s="4">
        <v>0.5</v>
      </c>
      <c r="U28" s="6">
        <v>6.24</v>
      </c>
      <c r="V28" s="6">
        <f t="shared" si="23"/>
        <v>14.11027027027027</v>
      </c>
      <c r="W28" s="7">
        <v>50</v>
      </c>
      <c r="X28" s="5">
        <v>38874</v>
      </c>
      <c r="Y28" s="7">
        <v>7473.5030346951717</v>
      </c>
      <c r="Z28" s="7">
        <v>2264.6978893015671</v>
      </c>
      <c r="AA28" s="7">
        <v>2038.2281003714106</v>
      </c>
      <c r="AB28" s="7">
        <v>679.40936679047013</v>
      </c>
      <c r="AC28" s="7">
        <v>226.46978893015674</v>
      </c>
      <c r="AD28" s="7">
        <v>22873.448681945829</v>
      </c>
      <c r="AE28" s="7">
        <v>11323.489446507836</v>
      </c>
      <c r="AF28" s="7">
        <v>679.40936679047013</v>
      </c>
      <c r="AG28" s="37">
        <f t="shared" si="24"/>
        <v>35782.22665096476</v>
      </c>
      <c r="AH28" s="29">
        <f>SUM(Z28:AF28)</f>
        <v>40085.152640637738</v>
      </c>
      <c r="AI28">
        <f>1*Z28</f>
        <v>2264.6978893015671</v>
      </c>
      <c r="AJ28">
        <f>2*AA28</f>
        <v>4076.4562007428212</v>
      </c>
      <c r="AK28">
        <f>3*AB28</f>
        <v>2038.2281003714104</v>
      </c>
      <c r="AL28">
        <f>4*AC28</f>
        <v>905.87915572062695</v>
      </c>
      <c r="AM28">
        <f>5*AD28</f>
        <v>114367.24340972914</v>
      </c>
      <c r="AN28">
        <f>6*(AE28+AF28)</f>
        <v>72017.392879789841</v>
      </c>
      <c r="AO28" s="40">
        <f>SUM(AI28:AN28)/AH28</f>
        <v>4.8813559322033901</v>
      </c>
    </row>
    <row r="29" spans="1:41" x14ac:dyDescent="0.25">
      <c r="A29" s="4" t="s">
        <v>73</v>
      </c>
      <c r="B29" s="4" t="s">
        <v>72</v>
      </c>
      <c r="C29" s="4" t="s">
        <v>362</v>
      </c>
      <c r="D29" s="14">
        <v>38874</v>
      </c>
      <c r="E29" s="14"/>
      <c r="F29" s="4">
        <f t="shared" si="20"/>
        <v>6</v>
      </c>
      <c r="G29" s="4">
        <f t="shared" si="21"/>
        <v>6</v>
      </c>
      <c r="H29" s="4">
        <f t="shared" si="22"/>
        <v>2006</v>
      </c>
      <c r="J29" s="4">
        <v>42.863399999999999</v>
      </c>
      <c r="K29" s="4">
        <v>-69.861800000000002</v>
      </c>
      <c r="L29" s="4">
        <v>2</v>
      </c>
      <c r="M29" s="4" t="s">
        <v>32</v>
      </c>
      <c r="N29" s="4">
        <v>200</v>
      </c>
      <c r="O29" s="4">
        <v>251</v>
      </c>
      <c r="P29" s="4">
        <v>256</v>
      </c>
      <c r="R29" s="4">
        <v>0.44156000000000001</v>
      </c>
      <c r="S29" s="4">
        <v>111</v>
      </c>
      <c r="T29" s="4">
        <v>0.5</v>
      </c>
      <c r="U29" s="6">
        <v>5.8920000000000003</v>
      </c>
      <c r="V29" s="6">
        <f t="shared" si="23"/>
        <v>13.323351351351352</v>
      </c>
      <c r="X29" s="5">
        <v>38874</v>
      </c>
      <c r="AG29" s="37"/>
    </row>
    <row r="30" spans="1:41" x14ac:dyDescent="0.25">
      <c r="A30" s="4" t="s">
        <v>74</v>
      </c>
      <c r="B30" s="4" t="s">
        <v>75</v>
      </c>
      <c r="C30" s="4" t="s">
        <v>362</v>
      </c>
      <c r="D30" s="14">
        <v>38894</v>
      </c>
      <c r="E30" s="14"/>
      <c r="F30" s="4">
        <f t="shared" si="20"/>
        <v>6</v>
      </c>
      <c r="G30" s="4">
        <f t="shared" si="21"/>
        <v>26</v>
      </c>
      <c r="H30" s="4">
        <f t="shared" si="22"/>
        <v>2006</v>
      </c>
      <c r="J30" s="4">
        <v>42.863399999999999</v>
      </c>
      <c r="K30" s="4">
        <v>-69.861800000000002</v>
      </c>
      <c r="L30" s="4">
        <v>1</v>
      </c>
      <c r="M30" s="4" t="s">
        <v>32</v>
      </c>
      <c r="N30" s="4">
        <v>200</v>
      </c>
      <c r="O30" s="4">
        <v>252</v>
      </c>
      <c r="P30" s="4">
        <v>257</v>
      </c>
      <c r="R30" s="4">
        <v>0.44156000000000001</v>
      </c>
      <c r="S30" s="4">
        <v>111</v>
      </c>
      <c r="T30" s="4">
        <v>0.5</v>
      </c>
      <c r="U30" s="6">
        <v>2.1139999999999999</v>
      </c>
      <c r="V30" s="6">
        <f t="shared" si="23"/>
        <v>4.7993513513513513</v>
      </c>
      <c r="X30" s="5">
        <v>38894</v>
      </c>
      <c r="AG30" s="37"/>
    </row>
    <row r="31" spans="1:41" x14ac:dyDescent="0.25">
      <c r="A31" s="4" t="s">
        <v>76</v>
      </c>
      <c r="B31" s="4" t="s">
        <v>75</v>
      </c>
      <c r="C31" s="4" t="s">
        <v>362</v>
      </c>
      <c r="D31" s="14">
        <v>38894</v>
      </c>
      <c r="F31" s="4">
        <f t="shared" si="20"/>
        <v>6</v>
      </c>
      <c r="G31" s="4">
        <f t="shared" si="21"/>
        <v>26</v>
      </c>
      <c r="H31" s="4">
        <f t="shared" si="22"/>
        <v>2006</v>
      </c>
      <c r="J31" s="4">
        <v>42.863399999999999</v>
      </c>
      <c r="K31" s="4">
        <v>-69.861800000000002</v>
      </c>
      <c r="L31" s="4">
        <v>2</v>
      </c>
      <c r="M31" s="4" t="s">
        <v>32</v>
      </c>
      <c r="N31" s="4">
        <v>200</v>
      </c>
      <c r="O31" s="4">
        <v>252</v>
      </c>
      <c r="P31" s="4">
        <v>257</v>
      </c>
      <c r="R31" s="4">
        <v>0.44156000000000001</v>
      </c>
      <c r="S31" s="4">
        <v>111</v>
      </c>
      <c r="T31" s="4">
        <v>0.5</v>
      </c>
      <c r="U31" s="6">
        <v>3.8879999999999999</v>
      </c>
      <c r="V31" s="6">
        <f t="shared" si="23"/>
        <v>8.8268108108108105</v>
      </c>
      <c r="W31" s="7">
        <v>100</v>
      </c>
      <c r="X31" s="5">
        <v>38894</v>
      </c>
      <c r="Y31" s="7">
        <v>9058.7915572062684</v>
      </c>
      <c r="Z31" s="7">
        <v>6341.1540900443879</v>
      </c>
      <c r="AA31" s="7">
        <v>11323.489446507836</v>
      </c>
      <c r="AB31" s="7">
        <v>10870.54986864752</v>
      </c>
      <c r="AC31" s="7">
        <v>13135.247757949088</v>
      </c>
      <c r="AD31" s="7">
        <v>17664.643536552223</v>
      </c>
      <c r="AE31" s="7">
        <v>905.87915572062684</v>
      </c>
      <c r="AF31" s="7">
        <v>0</v>
      </c>
      <c r="AG31" s="37">
        <f t="shared" si="24"/>
        <v>42576.320318869461</v>
      </c>
      <c r="AH31" s="29">
        <f>SUM(Z31:AF31)</f>
        <v>60240.96385542168</v>
      </c>
      <c r="AI31">
        <f>1*Z31</f>
        <v>6341.1540900443879</v>
      </c>
      <c r="AJ31">
        <f>2*AA31</f>
        <v>22646.978893015672</v>
      </c>
      <c r="AK31">
        <f>3*AB31</f>
        <v>32611.649605942563</v>
      </c>
      <c r="AL31">
        <f>4*AC31</f>
        <v>52540.991031796351</v>
      </c>
      <c r="AM31">
        <f>5*AD31</f>
        <v>88323.217682761111</v>
      </c>
      <c r="AN31">
        <f>6*(AE31+AF31)</f>
        <v>5435.274934323761</v>
      </c>
      <c r="AO31" s="40">
        <f>SUM(AI31:AN31)/AH31</f>
        <v>3.4511278195488724</v>
      </c>
    </row>
    <row r="32" spans="1:41" x14ac:dyDescent="0.25">
      <c r="A32" s="4" t="s">
        <v>77</v>
      </c>
      <c r="B32" s="4" t="s">
        <v>78</v>
      </c>
      <c r="C32" s="4" t="s">
        <v>362</v>
      </c>
      <c r="D32" s="14">
        <v>38916</v>
      </c>
      <c r="E32" s="14"/>
      <c r="F32" s="4">
        <f t="shared" si="20"/>
        <v>7</v>
      </c>
      <c r="G32" s="4">
        <f t="shared" si="21"/>
        <v>18</v>
      </c>
      <c r="H32" s="4">
        <f t="shared" si="22"/>
        <v>2006</v>
      </c>
      <c r="J32" s="4">
        <v>42.863399999999999</v>
      </c>
      <c r="K32" s="4">
        <v>-69.861800000000002</v>
      </c>
      <c r="L32" s="4">
        <v>1</v>
      </c>
      <c r="M32" s="4" t="s">
        <v>32</v>
      </c>
      <c r="N32" s="4">
        <v>200</v>
      </c>
      <c r="O32" s="4">
        <v>252</v>
      </c>
      <c r="P32" s="4">
        <v>257</v>
      </c>
      <c r="R32" s="4">
        <v>0.44156000000000001</v>
      </c>
      <c r="S32" s="4">
        <v>111</v>
      </c>
      <c r="T32" s="4">
        <v>0.5</v>
      </c>
      <c r="U32" s="6">
        <v>6.8639999999999999</v>
      </c>
      <c r="V32" s="6">
        <f t="shared" si="23"/>
        <v>15.583135135135134</v>
      </c>
      <c r="X32" s="5">
        <v>38916</v>
      </c>
      <c r="AG32" s="37"/>
    </row>
    <row r="33" spans="1:41" x14ac:dyDescent="0.25">
      <c r="A33" s="4" t="s">
        <v>79</v>
      </c>
      <c r="B33" s="4" t="s">
        <v>78</v>
      </c>
      <c r="C33" s="4" t="s">
        <v>362</v>
      </c>
      <c r="D33" s="14">
        <v>38916</v>
      </c>
      <c r="F33" s="4">
        <f t="shared" si="20"/>
        <v>7</v>
      </c>
      <c r="G33" s="4">
        <f t="shared" si="21"/>
        <v>18</v>
      </c>
      <c r="H33" s="4">
        <f t="shared" si="22"/>
        <v>2006</v>
      </c>
      <c r="J33" s="4">
        <v>42.863399999999999</v>
      </c>
      <c r="K33" s="4">
        <v>-69.861800000000002</v>
      </c>
      <c r="L33" s="4">
        <v>2</v>
      </c>
      <c r="M33" s="4" t="s">
        <v>32</v>
      </c>
      <c r="N33" s="4">
        <v>200</v>
      </c>
      <c r="O33" s="4">
        <v>252</v>
      </c>
      <c r="P33" s="4">
        <v>257</v>
      </c>
      <c r="R33" s="4">
        <v>0.44156000000000001</v>
      </c>
      <c r="S33" s="4">
        <v>111</v>
      </c>
      <c r="T33" s="4">
        <v>0.5</v>
      </c>
      <c r="U33" s="6">
        <v>6.6119999999999903</v>
      </c>
      <c r="V33" s="6">
        <f t="shared" si="23"/>
        <v>15.011027027027005</v>
      </c>
      <c r="W33" s="7">
        <v>100</v>
      </c>
      <c r="X33" s="5">
        <v>38916</v>
      </c>
      <c r="Y33" s="7">
        <v>0</v>
      </c>
      <c r="Z33" s="7">
        <v>0</v>
      </c>
      <c r="AA33" s="7">
        <v>905.87915572062684</v>
      </c>
      <c r="AB33" s="7">
        <v>1811.7583114412537</v>
      </c>
      <c r="AC33" s="7">
        <v>9058.7915572062684</v>
      </c>
      <c r="AD33" s="7">
        <v>37593.984962406015</v>
      </c>
      <c r="AE33" s="7">
        <v>905.87915572062684</v>
      </c>
      <c r="AF33" s="7">
        <v>0</v>
      </c>
      <c r="AG33" s="37">
        <f t="shared" si="24"/>
        <v>49370.413986774161</v>
      </c>
      <c r="AH33" s="29">
        <f>SUM(Z33:AF33)</f>
        <v>50276.293142494789</v>
      </c>
      <c r="AI33">
        <f>1*Z33</f>
        <v>0</v>
      </c>
      <c r="AJ33">
        <f>2*AA33</f>
        <v>1811.7583114412537</v>
      </c>
      <c r="AK33">
        <f>3*AB33</f>
        <v>5435.274934323761</v>
      </c>
      <c r="AL33">
        <f>4*AC33</f>
        <v>36235.166228825074</v>
      </c>
      <c r="AM33">
        <f>5*AD33</f>
        <v>187969.92481203008</v>
      </c>
      <c r="AN33">
        <f>6*(AE33+AF33)</f>
        <v>5435.274934323761</v>
      </c>
      <c r="AO33" s="40">
        <f>SUM(AI33:AN33)/AH33</f>
        <v>4.711711711711712</v>
      </c>
    </row>
    <row r="34" spans="1:41" x14ac:dyDescent="0.25">
      <c r="A34" s="4" t="s">
        <v>80</v>
      </c>
      <c r="B34" s="4" t="s">
        <v>81</v>
      </c>
      <c r="C34" s="4" t="s">
        <v>362</v>
      </c>
      <c r="D34" s="14">
        <v>38932</v>
      </c>
      <c r="E34" s="14"/>
      <c r="F34" s="4">
        <f t="shared" si="20"/>
        <v>8</v>
      </c>
      <c r="G34" s="4">
        <f t="shared" si="21"/>
        <v>3</v>
      </c>
      <c r="H34" s="4">
        <f t="shared" si="22"/>
        <v>2006</v>
      </c>
      <c r="J34" s="4">
        <v>42.863399999999999</v>
      </c>
      <c r="K34" s="4">
        <v>-69.861800000000002</v>
      </c>
      <c r="L34" s="4">
        <v>1</v>
      </c>
      <c r="M34" s="4" t="s">
        <v>32</v>
      </c>
      <c r="N34" s="4">
        <v>200</v>
      </c>
      <c r="O34" s="4">
        <v>252</v>
      </c>
      <c r="P34" s="4">
        <v>257</v>
      </c>
      <c r="R34" s="4">
        <v>0.44156000000000001</v>
      </c>
      <c r="S34" s="4">
        <v>111</v>
      </c>
      <c r="T34" s="4">
        <v>0.5</v>
      </c>
      <c r="U34" s="6">
        <v>7.3579999999999997</v>
      </c>
      <c r="V34" s="6">
        <f t="shared" si="23"/>
        <v>16.704648648648647</v>
      </c>
      <c r="X34" s="5">
        <v>38932</v>
      </c>
      <c r="AG34" s="37"/>
    </row>
    <row r="35" spans="1:41" x14ac:dyDescent="0.25">
      <c r="A35" s="4" t="s">
        <v>82</v>
      </c>
      <c r="B35" s="4" t="s">
        <v>81</v>
      </c>
      <c r="C35" s="4" t="s">
        <v>362</v>
      </c>
      <c r="D35" s="14">
        <v>38932</v>
      </c>
      <c r="F35" s="4">
        <f t="shared" si="20"/>
        <v>8</v>
      </c>
      <c r="G35" s="4">
        <f t="shared" si="21"/>
        <v>3</v>
      </c>
      <c r="H35" s="4">
        <f t="shared" si="22"/>
        <v>2006</v>
      </c>
      <c r="J35" s="4">
        <v>42.863399999999999</v>
      </c>
      <c r="K35" s="4">
        <v>-69.861800000000002</v>
      </c>
      <c r="L35" s="4">
        <v>2</v>
      </c>
      <c r="M35" s="4" t="s">
        <v>32</v>
      </c>
      <c r="N35" s="4">
        <v>200</v>
      </c>
      <c r="O35" s="4">
        <v>252</v>
      </c>
      <c r="P35" s="4">
        <v>257</v>
      </c>
      <c r="R35" s="4">
        <v>0.44156000000000001</v>
      </c>
      <c r="S35" s="4">
        <v>111</v>
      </c>
      <c r="T35" s="4">
        <v>0.5</v>
      </c>
      <c r="U35" s="6">
        <v>8.51</v>
      </c>
      <c r="V35" s="6">
        <f t="shared" si="23"/>
        <v>19.32</v>
      </c>
      <c r="W35" s="7">
        <v>120</v>
      </c>
      <c r="X35" s="5">
        <v>38932</v>
      </c>
      <c r="Y35" s="7">
        <v>0</v>
      </c>
      <c r="Z35" s="7">
        <v>0</v>
      </c>
      <c r="AA35" s="7">
        <v>1087.0549868647522</v>
      </c>
      <c r="AB35" s="7">
        <v>0</v>
      </c>
      <c r="AC35" s="7">
        <v>3261.1649605942566</v>
      </c>
      <c r="AD35" s="7">
        <v>35329.287073104446</v>
      </c>
      <c r="AE35" s="7">
        <v>543.5274934323761</v>
      </c>
      <c r="AF35" s="7">
        <v>0</v>
      </c>
      <c r="AG35" s="37">
        <f t="shared" si="24"/>
        <v>39133.97952713108</v>
      </c>
      <c r="AH35" s="29">
        <f>SUM(Z35:AF35)</f>
        <v>40221.03451399583</v>
      </c>
      <c r="AI35">
        <f>1*Z35</f>
        <v>0</v>
      </c>
      <c r="AJ35">
        <f>2*AA35</f>
        <v>2174.1099737295044</v>
      </c>
      <c r="AK35">
        <f>3*AB35</f>
        <v>0</v>
      </c>
      <c r="AL35">
        <f>4*AC35</f>
        <v>13044.659842377027</v>
      </c>
      <c r="AM35">
        <f>5*AD35</f>
        <v>176646.43536552222</v>
      </c>
      <c r="AN35">
        <f>6*(AE35+AF35)</f>
        <v>3261.1649605942566</v>
      </c>
      <c r="AO35" s="40">
        <f>SUM(AI35:AN35)/AH35</f>
        <v>4.8513513513513518</v>
      </c>
    </row>
    <row r="36" spans="1:41" x14ac:dyDescent="0.25">
      <c r="A36" s="4" t="s">
        <v>83</v>
      </c>
      <c r="B36" s="4" t="s">
        <v>84</v>
      </c>
      <c r="C36" s="4" t="s">
        <v>362</v>
      </c>
      <c r="D36" s="14">
        <v>38960</v>
      </c>
      <c r="E36" s="14"/>
      <c r="F36" s="4">
        <f t="shared" si="20"/>
        <v>8</v>
      </c>
      <c r="G36" s="4">
        <f t="shared" si="21"/>
        <v>31</v>
      </c>
      <c r="H36" s="4">
        <f t="shared" si="22"/>
        <v>2006</v>
      </c>
      <c r="J36" s="4">
        <v>42.863399999999999</v>
      </c>
      <c r="K36" s="4">
        <v>-69.861800000000002</v>
      </c>
      <c r="L36" s="4">
        <v>1</v>
      </c>
      <c r="M36" s="4" t="s">
        <v>32</v>
      </c>
      <c r="N36" s="4">
        <v>200</v>
      </c>
      <c r="O36" s="4">
        <v>252</v>
      </c>
      <c r="P36" s="4">
        <v>257</v>
      </c>
      <c r="R36" s="4">
        <v>0.44156000000000001</v>
      </c>
      <c r="S36" s="4">
        <v>111</v>
      </c>
      <c r="T36" s="4">
        <v>0.5</v>
      </c>
      <c r="U36" s="6">
        <v>8.0619999999999994</v>
      </c>
      <c r="V36" s="6">
        <f t="shared" si="23"/>
        <v>18.302918918918916</v>
      </c>
      <c r="X36" s="5">
        <v>38960</v>
      </c>
      <c r="AG36" s="37"/>
    </row>
    <row r="37" spans="1:41" x14ac:dyDescent="0.25">
      <c r="A37" s="4" t="s">
        <v>85</v>
      </c>
      <c r="B37" s="4" t="s">
        <v>84</v>
      </c>
      <c r="C37" s="4" t="s">
        <v>362</v>
      </c>
      <c r="D37" s="14">
        <v>38960</v>
      </c>
      <c r="F37" s="4">
        <f t="shared" si="20"/>
        <v>8</v>
      </c>
      <c r="G37" s="4">
        <f t="shared" si="21"/>
        <v>31</v>
      </c>
      <c r="H37" s="4">
        <f t="shared" si="22"/>
        <v>2006</v>
      </c>
      <c r="J37" s="4">
        <v>42.863399999999999</v>
      </c>
      <c r="K37" s="4">
        <v>-69.861800000000002</v>
      </c>
      <c r="L37" s="4">
        <v>2</v>
      </c>
      <c r="M37" s="4" t="s">
        <v>32</v>
      </c>
      <c r="N37" s="4">
        <v>200</v>
      </c>
      <c r="O37" s="4">
        <v>252</v>
      </c>
      <c r="P37" s="4">
        <v>257</v>
      </c>
      <c r="R37" s="4">
        <v>0.44156000000000001</v>
      </c>
      <c r="S37" s="4">
        <v>111</v>
      </c>
      <c r="T37" s="4">
        <v>0.5</v>
      </c>
      <c r="U37" s="6">
        <v>8.2739999999999991</v>
      </c>
      <c r="V37" s="6">
        <f t="shared" si="23"/>
        <v>18.784216216216215</v>
      </c>
      <c r="W37" s="7">
        <v>200</v>
      </c>
      <c r="X37" s="5">
        <v>38960</v>
      </c>
      <c r="Y37" s="7">
        <v>905.87915572062684</v>
      </c>
      <c r="Z37" s="7">
        <v>1811.7583114412537</v>
      </c>
      <c r="AA37" s="7">
        <v>0</v>
      </c>
      <c r="AB37" s="7">
        <v>0</v>
      </c>
      <c r="AC37" s="7">
        <v>905.87915572062684</v>
      </c>
      <c r="AD37" s="7">
        <v>37141.045384545701</v>
      </c>
      <c r="AE37" s="7">
        <v>0</v>
      </c>
      <c r="AF37" s="7">
        <v>0</v>
      </c>
      <c r="AG37" s="37">
        <f t="shared" si="24"/>
        <v>38046.924540266329</v>
      </c>
      <c r="AH37" s="29">
        <f>SUM(Z37:AF37)</f>
        <v>39858.682851707585</v>
      </c>
      <c r="AI37">
        <f>1*Z37</f>
        <v>1811.7583114412537</v>
      </c>
      <c r="AJ37">
        <f>2*AA37</f>
        <v>0</v>
      </c>
      <c r="AK37">
        <f>3*AB37</f>
        <v>0</v>
      </c>
      <c r="AL37">
        <f>4*AC37</f>
        <v>3623.5166228825074</v>
      </c>
      <c r="AM37">
        <f>5*AD37</f>
        <v>185705.2269227285</v>
      </c>
      <c r="AN37">
        <f>6*(AE37+AF37)</f>
        <v>0</v>
      </c>
      <c r="AO37" s="40">
        <f>SUM(AI37:AN37)/AH37</f>
        <v>4.795454545454545</v>
      </c>
    </row>
    <row r="38" spans="1:41" x14ac:dyDescent="0.25">
      <c r="A38" s="4" t="s">
        <v>86</v>
      </c>
      <c r="B38" s="4" t="s">
        <v>87</v>
      </c>
      <c r="C38" s="4" t="s">
        <v>362</v>
      </c>
      <c r="D38" s="14">
        <v>38974</v>
      </c>
      <c r="E38" s="14"/>
      <c r="F38" s="4">
        <f t="shared" si="20"/>
        <v>9</v>
      </c>
      <c r="G38" s="4">
        <f t="shared" si="21"/>
        <v>14</v>
      </c>
      <c r="H38" s="4">
        <f t="shared" si="22"/>
        <v>2006</v>
      </c>
      <c r="J38" s="4">
        <v>42.863399999999999</v>
      </c>
      <c r="K38" s="4">
        <v>-69.861800000000002</v>
      </c>
      <c r="L38" s="4">
        <v>1</v>
      </c>
      <c r="M38" s="4" t="s">
        <v>32</v>
      </c>
      <c r="N38" s="4">
        <v>200</v>
      </c>
      <c r="O38" s="4">
        <v>255</v>
      </c>
      <c r="P38" s="4">
        <v>260</v>
      </c>
      <c r="R38" s="4">
        <v>0.44156000000000001</v>
      </c>
      <c r="S38" s="4">
        <v>113</v>
      </c>
      <c r="T38" s="4">
        <v>0.5</v>
      </c>
      <c r="U38" s="6">
        <v>8.2159999999999993</v>
      </c>
      <c r="V38" s="6">
        <f t="shared" si="23"/>
        <v>18.540530973451329</v>
      </c>
      <c r="X38" s="5">
        <v>38974</v>
      </c>
      <c r="AG38" s="37"/>
    </row>
    <row r="39" spans="1:41" x14ac:dyDescent="0.25">
      <c r="A39" s="4" t="s">
        <v>88</v>
      </c>
      <c r="B39" s="4" t="s">
        <v>87</v>
      </c>
      <c r="C39" s="4" t="s">
        <v>362</v>
      </c>
      <c r="D39" s="14">
        <v>38974</v>
      </c>
      <c r="F39" s="4">
        <f t="shared" si="20"/>
        <v>9</v>
      </c>
      <c r="G39" s="4">
        <f t="shared" si="21"/>
        <v>14</v>
      </c>
      <c r="H39" s="4">
        <f t="shared" si="22"/>
        <v>2006</v>
      </c>
      <c r="J39" s="4">
        <v>42.863399999999999</v>
      </c>
      <c r="K39" s="4">
        <v>-69.861800000000002</v>
      </c>
      <c r="L39" s="4">
        <v>2</v>
      </c>
      <c r="M39" s="4" t="s">
        <v>32</v>
      </c>
      <c r="N39" s="4">
        <v>200</v>
      </c>
      <c r="O39" s="4">
        <v>255</v>
      </c>
      <c r="P39" s="4">
        <v>260</v>
      </c>
      <c r="R39" s="4">
        <v>0.44156000000000001</v>
      </c>
      <c r="S39" s="4">
        <v>113</v>
      </c>
      <c r="T39" s="4">
        <v>0.5</v>
      </c>
      <c r="U39" s="6">
        <v>8.2119999999999997</v>
      </c>
      <c r="V39" s="6">
        <f t="shared" si="23"/>
        <v>18.53150442477876</v>
      </c>
      <c r="W39" s="7">
        <v>80</v>
      </c>
      <c r="X39" s="5">
        <v>38974</v>
      </c>
      <c r="Y39" s="7">
        <v>0</v>
      </c>
      <c r="Z39" s="7">
        <v>0</v>
      </c>
      <c r="AA39" s="7">
        <v>0</v>
      </c>
      <c r="AB39" s="7">
        <v>0</v>
      </c>
      <c r="AC39" s="7">
        <v>4348.2199474590088</v>
      </c>
      <c r="AD39" s="7">
        <v>46018.661110607842</v>
      </c>
      <c r="AE39" s="7">
        <v>1087.0549868647522</v>
      </c>
      <c r="AF39" s="7">
        <v>0</v>
      </c>
      <c r="AG39" s="37">
        <f t="shared" si="24"/>
        <v>51453.936044931601</v>
      </c>
      <c r="AH39" s="29">
        <f>SUM(Z39:AF39)</f>
        <v>51453.936044931601</v>
      </c>
      <c r="AI39">
        <f>1*Z39</f>
        <v>0</v>
      </c>
      <c r="AJ39">
        <f>2*AA39</f>
        <v>0</v>
      </c>
      <c r="AK39">
        <f>3*AB39</f>
        <v>0</v>
      </c>
      <c r="AL39">
        <f>4*AC39</f>
        <v>17392.879789836035</v>
      </c>
      <c r="AM39">
        <f>5*AD39</f>
        <v>230093.30555303922</v>
      </c>
      <c r="AN39">
        <f>6*(AE39+AF39)</f>
        <v>6522.3299211885133</v>
      </c>
      <c r="AO39" s="40">
        <f>SUM(AI39:AN39)/AH39</f>
        <v>4.936619718309859</v>
      </c>
    </row>
    <row r="40" spans="1:41" x14ac:dyDescent="0.25">
      <c r="A40" s="4" t="s">
        <v>89</v>
      </c>
      <c r="B40" s="4" t="s">
        <v>90</v>
      </c>
      <c r="C40" s="4" t="s">
        <v>362</v>
      </c>
      <c r="D40" s="14">
        <v>38999</v>
      </c>
      <c r="E40" s="14"/>
      <c r="F40" s="4">
        <f t="shared" si="20"/>
        <v>10</v>
      </c>
      <c r="G40" s="4">
        <f t="shared" si="21"/>
        <v>9</v>
      </c>
      <c r="H40" s="4">
        <f t="shared" si="22"/>
        <v>2006</v>
      </c>
      <c r="J40" s="4">
        <v>42.862000000000002</v>
      </c>
      <c r="K40" s="4">
        <v>-69.866600000000005</v>
      </c>
      <c r="L40" s="4">
        <v>1</v>
      </c>
      <c r="M40" s="4" t="s">
        <v>32</v>
      </c>
      <c r="N40" s="4">
        <v>200</v>
      </c>
      <c r="O40" s="4">
        <v>253</v>
      </c>
      <c r="P40" s="4">
        <v>258</v>
      </c>
      <c r="R40" s="4">
        <v>0.44156000000000001</v>
      </c>
      <c r="S40" s="4">
        <v>112</v>
      </c>
      <c r="T40" s="4">
        <v>0.5</v>
      </c>
      <c r="U40" s="6">
        <v>10.901999999999999</v>
      </c>
      <c r="V40" s="6">
        <f t="shared" si="23"/>
        <v>24.626839285714286</v>
      </c>
      <c r="X40" s="5">
        <v>38999</v>
      </c>
      <c r="AG40" s="37"/>
    </row>
    <row r="41" spans="1:41" x14ac:dyDescent="0.25">
      <c r="A41" s="4" t="s">
        <v>91</v>
      </c>
      <c r="B41" s="4" t="s">
        <v>90</v>
      </c>
      <c r="C41" s="4" t="s">
        <v>362</v>
      </c>
      <c r="D41" s="14">
        <v>38999</v>
      </c>
      <c r="F41" s="4">
        <f t="shared" si="20"/>
        <v>10</v>
      </c>
      <c r="G41" s="4">
        <f t="shared" si="21"/>
        <v>9</v>
      </c>
      <c r="H41" s="4">
        <f t="shared" si="22"/>
        <v>2006</v>
      </c>
      <c r="J41" s="4">
        <v>42.862000000000002</v>
      </c>
      <c r="K41" s="4">
        <v>-69.866600000000005</v>
      </c>
      <c r="L41" s="4">
        <v>2</v>
      </c>
      <c r="M41" s="4" t="s">
        <v>32</v>
      </c>
      <c r="N41" s="4">
        <v>200</v>
      </c>
      <c r="O41" s="4">
        <v>253</v>
      </c>
      <c r="P41" s="4">
        <v>258</v>
      </c>
      <c r="R41" s="4">
        <v>0.44156000000000001</v>
      </c>
      <c r="S41" s="4">
        <v>112</v>
      </c>
      <c r="T41" s="4">
        <v>0.5</v>
      </c>
      <c r="U41" s="6">
        <v>13.17</v>
      </c>
      <c r="V41" s="6">
        <f t="shared" si="23"/>
        <v>29.750089285714285</v>
      </c>
      <c r="W41" s="7">
        <v>100</v>
      </c>
      <c r="X41" s="5">
        <v>38999</v>
      </c>
      <c r="Y41" s="7">
        <v>0</v>
      </c>
      <c r="Z41" s="7">
        <v>0</v>
      </c>
      <c r="AA41" s="7">
        <v>0</v>
      </c>
      <c r="AB41" s="7">
        <v>0</v>
      </c>
      <c r="AC41" s="7">
        <v>9511.7311350665823</v>
      </c>
      <c r="AD41" s="7">
        <v>47558.655675332906</v>
      </c>
      <c r="AE41" s="7">
        <v>3170.5770450221939</v>
      </c>
      <c r="AF41" s="7">
        <v>0</v>
      </c>
      <c r="AG41" s="37">
        <f t="shared" si="24"/>
        <v>60240.963855421687</v>
      </c>
      <c r="AH41" s="29">
        <f t="shared" ref="AH41:AH42" si="41">SUM(Z41:AF41)</f>
        <v>60240.963855421687</v>
      </c>
      <c r="AI41">
        <f t="shared" ref="AI41:AI42" si="42">1*Z41</f>
        <v>0</v>
      </c>
      <c r="AJ41">
        <f t="shared" ref="AJ41:AJ42" si="43">2*AA41</f>
        <v>0</v>
      </c>
      <c r="AK41">
        <f t="shared" ref="AK41:AK42" si="44">3*AB41</f>
        <v>0</v>
      </c>
      <c r="AL41">
        <f t="shared" ref="AL41:AL42" si="45">4*AC41</f>
        <v>38046.924540266329</v>
      </c>
      <c r="AM41">
        <f t="shared" ref="AM41:AM42" si="46">5*AD41</f>
        <v>237793.27837666453</v>
      </c>
      <c r="AN41">
        <f t="shared" ref="AN41:AN42" si="47">6*(AE41+AF41)</f>
        <v>19023.462270133165</v>
      </c>
      <c r="AO41" s="40">
        <f t="shared" ref="AO41:AO42" si="48">SUM(AI41:AN41)/AH41</f>
        <v>4.8947368421052619</v>
      </c>
    </row>
    <row r="42" spans="1:41" x14ac:dyDescent="0.25">
      <c r="A42" s="4" t="s">
        <v>92</v>
      </c>
      <c r="B42" s="4" t="s">
        <v>93</v>
      </c>
      <c r="C42" s="4" t="s">
        <v>362</v>
      </c>
      <c r="D42" s="14">
        <v>39006</v>
      </c>
      <c r="F42" s="4">
        <f t="shared" si="20"/>
        <v>10</v>
      </c>
      <c r="G42" s="4">
        <f t="shared" si="21"/>
        <v>16</v>
      </c>
      <c r="H42" s="4">
        <f t="shared" si="22"/>
        <v>2006</v>
      </c>
      <c r="J42" s="4">
        <v>42.861199999999997</v>
      </c>
      <c r="K42" s="4">
        <v>-69.860399999999998</v>
      </c>
      <c r="L42" s="4">
        <v>1</v>
      </c>
      <c r="M42" s="4" t="s">
        <v>32</v>
      </c>
      <c r="N42" s="4">
        <v>200</v>
      </c>
      <c r="O42" s="4">
        <v>252</v>
      </c>
      <c r="P42" s="4">
        <v>257</v>
      </c>
      <c r="R42" s="4">
        <v>0.44156000000000001</v>
      </c>
      <c r="S42" s="4">
        <v>111</v>
      </c>
      <c r="T42" s="4">
        <v>0.5</v>
      </c>
      <c r="U42" s="6">
        <v>10.738</v>
      </c>
      <c r="V42" s="6">
        <f t="shared" si="23"/>
        <v>24.378162162162162</v>
      </c>
      <c r="W42" s="7">
        <v>120</v>
      </c>
      <c r="X42" s="5">
        <v>39006</v>
      </c>
      <c r="Y42" s="7">
        <v>0</v>
      </c>
      <c r="Z42" s="7">
        <v>0</v>
      </c>
      <c r="AA42" s="7">
        <v>0</v>
      </c>
      <c r="AB42" s="7">
        <v>0</v>
      </c>
      <c r="AC42" s="7">
        <v>3804.6924540266327</v>
      </c>
      <c r="AD42" s="7">
        <v>33698.704592807313</v>
      </c>
      <c r="AE42" s="7">
        <v>0</v>
      </c>
      <c r="AF42" s="7">
        <v>0</v>
      </c>
      <c r="AG42" s="37">
        <f t="shared" si="24"/>
        <v>37503.397046833947</v>
      </c>
      <c r="AH42" s="29">
        <f t="shared" si="41"/>
        <v>37503.397046833947</v>
      </c>
      <c r="AI42">
        <f t="shared" si="42"/>
        <v>0</v>
      </c>
      <c r="AJ42">
        <f t="shared" si="43"/>
        <v>0</v>
      </c>
      <c r="AK42">
        <f t="shared" si="44"/>
        <v>0</v>
      </c>
      <c r="AL42">
        <f t="shared" si="45"/>
        <v>15218.769816106531</v>
      </c>
      <c r="AM42">
        <f t="shared" si="46"/>
        <v>168493.52296403656</v>
      </c>
      <c r="AN42">
        <f t="shared" si="47"/>
        <v>0</v>
      </c>
      <c r="AO42" s="40">
        <f t="shared" si="48"/>
        <v>4.8985507246376807</v>
      </c>
    </row>
    <row r="43" spans="1:41" x14ac:dyDescent="0.25">
      <c r="A43" s="4" t="s">
        <v>94</v>
      </c>
      <c r="B43" s="4" t="s">
        <v>95</v>
      </c>
      <c r="C43" s="4" t="s">
        <v>362</v>
      </c>
      <c r="D43" s="14">
        <v>39063</v>
      </c>
      <c r="E43" s="14"/>
      <c r="F43" s="4">
        <f t="shared" si="20"/>
        <v>12</v>
      </c>
      <c r="G43" s="4">
        <f t="shared" si="21"/>
        <v>12</v>
      </c>
      <c r="H43" s="4">
        <f t="shared" si="22"/>
        <v>2006</v>
      </c>
      <c r="J43" s="4">
        <v>42.860300000000002</v>
      </c>
      <c r="K43" s="4">
        <v>-69.851200000000006</v>
      </c>
      <c r="L43" s="4">
        <v>1</v>
      </c>
      <c r="M43" s="4" t="s">
        <v>32</v>
      </c>
      <c r="N43" s="4">
        <v>200</v>
      </c>
      <c r="O43" s="4">
        <v>248</v>
      </c>
      <c r="P43" s="4">
        <v>253</v>
      </c>
      <c r="R43" s="4">
        <v>0.44156000000000001</v>
      </c>
      <c r="S43" s="4">
        <v>110</v>
      </c>
      <c r="T43" s="4">
        <v>0.5</v>
      </c>
      <c r="U43" s="6">
        <v>12.683999999999999</v>
      </c>
      <c r="V43" s="6">
        <f t="shared" si="23"/>
        <v>28.596654545454545</v>
      </c>
      <c r="X43" s="5">
        <v>39063</v>
      </c>
      <c r="AG43" s="37"/>
    </row>
    <row r="44" spans="1:41" x14ac:dyDescent="0.25">
      <c r="A44" s="4" t="s">
        <v>94</v>
      </c>
      <c r="B44" s="4" t="s">
        <v>95</v>
      </c>
      <c r="C44" s="4" t="s">
        <v>362</v>
      </c>
      <c r="D44" s="14">
        <v>39063</v>
      </c>
      <c r="E44" s="14"/>
      <c r="F44" s="4">
        <f t="shared" si="20"/>
        <v>12</v>
      </c>
      <c r="G44" s="4">
        <f t="shared" si="21"/>
        <v>12</v>
      </c>
      <c r="H44" s="4">
        <f t="shared" si="22"/>
        <v>2006</v>
      </c>
      <c r="J44" s="4">
        <v>42.860300000000002</v>
      </c>
      <c r="K44" s="4">
        <v>-69.851200000000006</v>
      </c>
      <c r="L44" s="4">
        <v>1</v>
      </c>
      <c r="M44" s="4" t="s">
        <v>32</v>
      </c>
      <c r="N44" s="4">
        <v>200</v>
      </c>
      <c r="O44" s="4">
        <v>248</v>
      </c>
      <c r="P44" s="4">
        <v>253</v>
      </c>
      <c r="R44" s="4">
        <v>0.44156000000000001</v>
      </c>
      <c r="S44" s="4">
        <v>110</v>
      </c>
      <c r="T44" s="4">
        <v>0.5</v>
      </c>
      <c r="U44" s="6">
        <v>12.683999999999999</v>
      </c>
      <c r="V44" s="6">
        <f t="shared" si="23"/>
        <v>28.596654545454545</v>
      </c>
      <c r="X44" s="5">
        <v>39063</v>
      </c>
      <c r="AG44" s="37"/>
    </row>
    <row r="45" spans="1:41" x14ac:dyDescent="0.25">
      <c r="A45" s="4" t="s">
        <v>96</v>
      </c>
      <c r="B45" s="4" t="s">
        <v>95</v>
      </c>
      <c r="C45" s="4" t="s">
        <v>362</v>
      </c>
      <c r="D45" s="14">
        <v>39063</v>
      </c>
      <c r="F45" s="4">
        <f t="shared" si="20"/>
        <v>12</v>
      </c>
      <c r="G45" s="4">
        <f t="shared" si="21"/>
        <v>12</v>
      </c>
      <c r="H45" s="4">
        <f t="shared" si="22"/>
        <v>2006</v>
      </c>
      <c r="J45" s="4">
        <v>42.860300000000002</v>
      </c>
      <c r="K45" s="4">
        <v>-69.851200000000006</v>
      </c>
      <c r="L45" s="4">
        <v>2</v>
      </c>
      <c r="M45" s="4" t="s">
        <v>32</v>
      </c>
      <c r="N45" s="4">
        <v>200</v>
      </c>
      <c r="O45" s="4">
        <v>248</v>
      </c>
      <c r="P45" s="4">
        <v>253</v>
      </c>
      <c r="R45" s="4">
        <v>0.44156000000000001</v>
      </c>
      <c r="S45" s="4">
        <v>110</v>
      </c>
      <c r="T45" s="4">
        <v>0.5</v>
      </c>
      <c r="U45" s="6">
        <v>13.598000000000001</v>
      </c>
      <c r="V45" s="6">
        <f t="shared" si="23"/>
        <v>30.657309090909092</v>
      </c>
      <c r="W45" s="7">
        <v>110</v>
      </c>
      <c r="X45" s="5">
        <v>39063</v>
      </c>
      <c r="Y45" s="7">
        <v>0</v>
      </c>
      <c r="Z45" s="7">
        <v>0</v>
      </c>
      <c r="AA45" s="7">
        <v>0</v>
      </c>
      <c r="AB45" s="7">
        <v>0</v>
      </c>
      <c r="AC45" s="7">
        <v>996.46707129268952</v>
      </c>
      <c r="AD45" s="7">
        <v>91674.970558927438</v>
      </c>
      <c r="AE45" s="7">
        <v>3985.8682851707581</v>
      </c>
      <c r="AF45" s="7">
        <v>0</v>
      </c>
      <c r="AG45" s="37">
        <f t="shared" si="24"/>
        <v>96657.305915390883</v>
      </c>
      <c r="AH45" s="29">
        <f t="shared" ref="AH45:AH50" si="49">SUM(Z45:AF45)</f>
        <v>96657.305915390883</v>
      </c>
      <c r="AI45">
        <f t="shared" ref="AI45:AI50" si="50">1*Z45</f>
        <v>0</v>
      </c>
      <c r="AJ45">
        <f t="shared" ref="AJ45:AJ50" si="51">2*AA45</f>
        <v>0</v>
      </c>
      <c r="AK45">
        <f t="shared" ref="AK45:AK50" si="52">3*AB45</f>
        <v>0</v>
      </c>
      <c r="AL45">
        <f t="shared" ref="AL45:AL50" si="53">4*AC45</f>
        <v>3985.8682851707581</v>
      </c>
      <c r="AM45">
        <f t="shared" ref="AM45:AM50" si="54">5*AD45</f>
        <v>458374.85279463721</v>
      </c>
      <c r="AN45">
        <f t="shared" ref="AN45:AN50" si="55">6*(AE45+AF45)</f>
        <v>23915.209711024549</v>
      </c>
      <c r="AO45" s="40">
        <f t="shared" ref="AO45:AO50" si="56">SUM(AI45:AN45)/AH45</f>
        <v>5.0309278350515463</v>
      </c>
    </row>
    <row r="46" spans="1:41" x14ac:dyDescent="0.25">
      <c r="A46" s="4" t="s">
        <v>96</v>
      </c>
      <c r="B46" s="4" t="s">
        <v>95</v>
      </c>
      <c r="C46" s="4" t="s">
        <v>362</v>
      </c>
      <c r="D46" s="14">
        <v>39063</v>
      </c>
      <c r="F46" s="4">
        <f t="shared" si="20"/>
        <v>12</v>
      </c>
      <c r="G46" s="4">
        <f t="shared" si="21"/>
        <v>12</v>
      </c>
      <c r="H46" s="4">
        <f t="shared" si="22"/>
        <v>2006</v>
      </c>
      <c r="J46" s="4">
        <v>42.8611</v>
      </c>
      <c r="K46" s="4">
        <v>-69.862700000000004</v>
      </c>
      <c r="L46" s="4">
        <v>2</v>
      </c>
      <c r="M46" s="4" t="s">
        <v>32</v>
      </c>
      <c r="N46" s="4">
        <v>200</v>
      </c>
      <c r="O46" s="4">
        <v>248</v>
      </c>
      <c r="P46" s="4">
        <v>253</v>
      </c>
      <c r="R46" s="4">
        <v>0.44156000000000001</v>
      </c>
      <c r="S46" s="4">
        <v>110</v>
      </c>
      <c r="T46" s="4">
        <v>0.5</v>
      </c>
      <c r="U46" s="6">
        <v>13.598000000000001</v>
      </c>
      <c r="V46" s="6">
        <f t="shared" si="23"/>
        <v>30.657309090909092</v>
      </c>
      <c r="W46" s="7">
        <v>60</v>
      </c>
      <c r="X46" s="5">
        <v>39063</v>
      </c>
      <c r="Y46" s="13">
        <v>0</v>
      </c>
      <c r="Z46" s="13">
        <v>0</v>
      </c>
      <c r="AA46" s="13">
        <v>0</v>
      </c>
      <c r="AB46" s="13">
        <v>0</v>
      </c>
      <c r="AC46" s="7">
        <v>1087.0549868647522</v>
      </c>
      <c r="AD46" s="7">
        <v>101639.64127185433</v>
      </c>
      <c r="AE46" s="7">
        <v>3804.6924540266327</v>
      </c>
      <c r="AF46" s="7">
        <v>543.5274934323761</v>
      </c>
      <c r="AG46" s="37">
        <f t="shared" si="24"/>
        <v>107074.9162061781</v>
      </c>
      <c r="AH46" s="29">
        <f t="shared" si="49"/>
        <v>107074.9162061781</v>
      </c>
      <c r="AI46">
        <f t="shared" si="50"/>
        <v>0</v>
      </c>
      <c r="AJ46">
        <f t="shared" si="51"/>
        <v>0</v>
      </c>
      <c r="AK46">
        <f t="shared" si="52"/>
        <v>0</v>
      </c>
      <c r="AL46">
        <f t="shared" si="53"/>
        <v>4348.2199474590088</v>
      </c>
      <c r="AM46">
        <f t="shared" si="54"/>
        <v>508198.20635927166</v>
      </c>
      <c r="AN46">
        <f t="shared" si="55"/>
        <v>26089.319684754053</v>
      </c>
      <c r="AO46" s="40">
        <f t="shared" si="56"/>
        <v>5.030456852791878</v>
      </c>
    </row>
    <row r="47" spans="1:41" x14ac:dyDescent="0.25">
      <c r="A47" s="4" t="s">
        <v>97</v>
      </c>
      <c r="B47" s="4" t="s">
        <v>98</v>
      </c>
      <c r="C47" s="4" t="s">
        <v>362</v>
      </c>
      <c r="D47" s="14">
        <v>39135</v>
      </c>
      <c r="F47" s="4">
        <f t="shared" si="20"/>
        <v>2</v>
      </c>
      <c r="G47" s="4">
        <f t="shared" si="21"/>
        <v>22</v>
      </c>
      <c r="H47" s="4">
        <f t="shared" si="22"/>
        <v>2007</v>
      </c>
      <c r="J47" s="4">
        <v>42.8611</v>
      </c>
      <c r="K47" s="4">
        <v>-69.862700000000004</v>
      </c>
      <c r="L47" s="4">
        <v>1</v>
      </c>
      <c r="M47" s="4" t="s">
        <v>32</v>
      </c>
      <c r="N47" s="4">
        <v>200</v>
      </c>
      <c r="O47" s="4">
        <v>250</v>
      </c>
      <c r="P47" s="4">
        <v>255</v>
      </c>
      <c r="R47" s="4">
        <v>0.44156000000000001</v>
      </c>
      <c r="S47" s="4">
        <v>110</v>
      </c>
      <c r="T47" s="4">
        <v>0.5</v>
      </c>
      <c r="U47" s="6">
        <v>3.4420000000000002</v>
      </c>
      <c r="V47" s="6">
        <f t="shared" si="23"/>
        <v>7.8227272727272732</v>
      </c>
      <c r="W47" s="7">
        <v>40</v>
      </c>
      <c r="X47" s="5">
        <v>39135</v>
      </c>
      <c r="Y47" s="7">
        <v>10870.549868647522</v>
      </c>
      <c r="Z47" s="7">
        <v>1087.0549868647524</v>
      </c>
      <c r="AA47" s="7">
        <v>181.17583114412537</v>
      </c>
      <c r="AB47" s="7">
        <v>0</v>
      </c>
      <c r="AC47" s="7">
        <v>181.17583114412537</v>
      </c>
      <c r="AD47" s="7">
        <v>7065.8574146208903</v>
      </c>
      <c r="AE47" s="7">
        <v>9421.1432194945191</v>
      </c>
      <c r="AF47" s="7">
        <v>2355.2858048736298</v>
      </c>
      <c r="AG47" s="37">
        <f t="shared" si="24"/>
        <v>19023.462270133165</v>
      </c>
      <c r="AH47" s="29">
        <f t="shared" si="49"/>
        <v>20291.693088142041</v>
      </c>
      <c r="AI47">
        <f t="shared" si="50"/>
        <v>1087.0549868647524</v>
      </c>
      <c r="AJ47">
        <f t="shared" si="51"/>
        <v>362.35166228825074</v>
      </c>
      <c r="AK47">
        <f t="shared" si="52"/>
        <v>0</v>
      </c>
      <c r="AL47">
        <f t="shared" si="53"/>
        <v>724.70332457650147</v>
      </c>
      <c r="AM47">
        <f t="shared" si="54"/>
        <v>35329.287073104453</v>
      </c>
      <c r="AN47">
        <f t="shared" si="55"/>
        <v>70658.574146208906</v>
      </c>
      <c r="AO47" s="40">
        <f t="shared" si="56"/>
        <v>5.3303571428571432</v>
      </c>
    </row>
    <row r="48" spans="1:41" x14ac:dyDescent="0.25">
      <c r="A48" s="4" t="s">
        <v>99</v>
      </c>
      <c r="B48" s="4" t="s">
        <v>98</v>
      </c>
      <c r="C48" s="4" t="s">
        <v>362</v>
      </c>
      <c r="D48" s="14">
        <v>39135</v>
      </c>
      <c r="F48" s="4">
        <f t="shared" si="20"/>
        <v>2</v>
      </c>
      <c r="G48" s="4">
        <f t="shared" si="21"/>
        <v>22</v>
      </c>
      <c r="H48" s="4">
        <f t="shared" si="22"/>
        <v>2007</v>
      </c>
      <c r="J48" s="4">
        <v>42.8611</v>
      </c>
      <c r="K48" s="4">
        <v>-69.862700000000004</v>
      </c>
      <c r="L48" s="4">
        <v>2</v>
      </c>
      <c r="M48" s="4" t="s">
        <v>32</v>
      </c>
      <c r="N48" s="4">
        <v>200</v>
      </c>
      <c r="O48" s="4">
        <v>250</v>
      </c>
      <c r="P48" s="4">
        <v>255</v>
      </c>
      <c r="R48" s="4">
        <v>0.44156000000000001</v>
      </c>
      <c r="S48" s="4">
        <v>110</v>
      </c>
      <c r="T48" s="4">
        <v>0.5</v>
      </c>
      <c r="U48" s="6">
        <v>3.5820000000000101</v>
      </c>
      <c r="V48" s="6">
        <f t="shared" si="23"/>
        <v>8.1409090909091137</v>
      </c>
      <c r="X48" s="5">
        <v>39135</v>
      </c>
      <c r="Y48" s="7">
        <v>5163.5111876075725</v>
      </c>
      <c r="Z48" s="7">
        <v>1087.0549868647524</v>
      </c>
      <c r="AA48" s="7">
        <v>0</v>
      </c>
      <c r="AB48" s="7">
        <v>0</v>
      </c>
      <c r="AC48" s="7">
        <v>271.76374671618811</v>
      </c>
      <c r="AD48" s="7">
        <v>10055.258628498957</v>
      </c>
      <c r="AE48" s="7">
        <v>10598.786121931334</v>
      </c>
      <c r="AF48" s="7">
        <v>0</v>
      </c>
      <c r="AG48" s="37">
        <f t="shared" si="24"/>
        <v>20925.808497146478</v>
      </c>
      <c r="AH48" s="29">
        <f t="shared" si="49"/>
        <v>22012.863484011232</v>
      </c>
      <c r="AI48">
        <f t="shared" si="50"/>
        <v>1087.0549868647524</v>
      </c>
      <c r="AJ48">
        <f t="shared" si="51"/>
        <v>0</v>
      </c>
      <c r="AK48">
        <f t="shared" si="52"/>
        <v>0</v>
      </c>
      <c r="AL48">
        <f t="shared" si="53"/>
        <v>1087.0549868647524</v>
      </c>
      <c r="AM48">
        <f t="shared" si="54"/>
        <v>50276.293142494789</v>
      </c>
      <c r="AN48">
        <f t="shared" si="55"/>
        <v>63592.716731588007</v>
      </c>
      <c r="AO48" s="40">
        <f t="shared" si="56"/>
        <v>5.2716049382716053</v>
      </c>
    </row>
    <row r="49" spans="1:41" x14ac:dyDescent="0.25">
      <c r="A49" s="4" t="s">
        <v>100</v>
      </c>
      <c r="B49" s="4" t="s">
        <v>101</v>
      </c>
      <c r="C49" s="4" t="s">
        <v>362</v>
      </c>
      <c r="D49" s="14">
        <v>39142</v>
      </c>
      <c r="F49" s="4">
        <f t="shared" si="20"/>
        <v>3</v>
      </c>
      <c r="G49" s="4">
        <f t="shared" si="21"/>
        <v>1</v>
      </c>
      <c r="H49" s="4">
        <f t="shared" si="22"/>
        <v>2007</v>
      </c>
      <c r="J49" s="4">
        <v>42.8626</v>
      </c>
      <c r="K49" s="4">
        <v>-69.862099999999998</v>
      </c>
      <c r="L49" s="4">
        <v>1</v>
      </c>
      <c r="M49" s="4" t="s">
        <v>32</v>
      </c>
      <c r="N49" s="4">
        <v>200</v>
      </c>
      <c r="O49" s="4">
        <v>254</v>
      </c>
      <c r="P49" s="4">
        <v>259</v>
      </c>
      <c r="R49" s="4">
        <v>0.44156000000000001</v>
      </c>
      <c r="S49" s="4">
        <v>112</v>
      </c>
      <c r="T49" s="4">
        <v>0.5</v>
      </c>
      <c r="U49" s="6">
        <v>2.6560000000000001</v>
      </c>
      <c r="V49" s="6">
        <f t="shared" si="23"/>
        <v>6.023428571428572</v>
      </c>
      <c r="W49" s="7">
        <v>60</v>
      </c>
      <c r="X49" s="5">
        <v>39142</v>
      </c>
      <c r="Y49" s="7">
        <v>13316.423589093216</v>
      </c>
      <c r="Z49" s="7">
        <v>815.29124014856416</v>
      </c>
      <c r="AA49" s="7">
        <v>0</v>
      </c>
      <c r="AB49" s="7">
        <v>0</v>
      </c>
      <c r="AC49" s="7">
        <v>271.76374671618805</v>
      </c>
      <c r="AD49" s="7">
        <v>4891.7474408913849</v>
      </c>
      <c r="AE49" s="7">
        <v>7881.148654769454</v>
      </c>
      <c r="AF49" s="7">
        <v>1087.0549868647522</v>
      </c>
      <c r="AG49" s="37">
        <f t="shared" si="24"/>
        <v>14131.714829241779</v>
      </c>
      <c r="AH49" s="29">
        <f t="shared" si="49"/>
        <v>14947.006069390343</v>
      </c>
      <c r="AI49">
        <f t="shared" si="50"/>
        <v>815.29124014856416</v>
      </c>
      <c r="AJ49">
        <f t="shared" si="51"/>
        <v>0</v>
      </c>
      <c r="AK49">
        <f t="shared" si="52"/>
        <v>0</v>
      </c>
      <c r="AL49">
        <f t="shared" si="53"/>
        <v>1087.0549868647522</v>
      </c>
      <c r="AM49">
        <f t="shared" si="54"/>
        <v>24458.737204456924</v>
      </c>
      <c r="AN49">
        <f t="shared" si="55"/>
        <v>53809.221849805232</v>
      </c>
      <c r="AO49" s="40">
        <f t="shared" si="56"/>
        <v>5.3636363636363633</v>
      </c>
    </row>
    <row r="50" spans="1:41" x14ac:dyDescent="0.25">
      <c r="A50" s="4" t="s">
        <v>102</v>
      </c>
      <c r="B50" s="4" t="s">
        <v>103</v>
      </c>
      <c r="C50" s="4" t="s">
        <v>362</v>
      </c>
      <c r="D50" s="14">
        <v>39182</v>
      </c>
      <c r="F50" s="4">
        <f t="shared" si="20"/>
        <v>4</v>
      </c>
      <c r="G50" s="4">
        <f t="shared" si="21"/>
        <v>10</v>
      </c>
      <c r="H50" s="4">
        <f t="shared" si="22"/>
        <v>2007</v>
      </c>
      <c r="J50" s="4">
        <v>42.862099999999998</v>
      </c>
      <c r="K50" s="4">
        <v>-69.862300000000005</v>
      </c>
      <c r="L50" s="4">
        <v>1</v>
      </c>
      <c r="M50" s="4" t="s">
        <v>32</v>
      </c>
      <c r="N50" s="4">
        <v>200</v>
      </c>
      <c r="O50" s="4">
        <v>255</v>
      </c>
      <c r="P50" s="4">
        <v>260</v>
      </c>
      <c r="R50" s="4">
        <v>0.44156000000000001</v>
      </c>
      <c r="S50" s="4">
        <v>113</v>
      </c>
      <c r="T50" s="4">
        <v>0.5</v>
      </c>
      <c r="U50" s="6">
        <v>0.59200000000000597</v>
      </c>
      <c r="V50" s="6">
        <f t="shared" si="23"/>
        <v>1.3359292035398365</v>
      </c>
      <c r="W50" s="7">
        <v>10</v>
      </c>
      <c r="X50" s="5">
        <v>39182</v>
      </c>
      <c r="Y50" s="7">
        <v>407.64562007428208</v>
      </c>
      <c r="Z50" s="7">
        <v>135.88187335809403</v>
      </c>
      <c r="AA50" s="7">
        <v>45.293957786031342</v>
      </c>
      <c r="AB50" s="7">
        <v>45.293957786031342</v>
      </c>
      <c r="AC50" s="7">
        <v>45.293957786031342</v>
      </c>
      <c r="AD50" s="7">
        <v>271.76374671618805</v>
      </c>
      <c r="AE50" s="7">
        <v>1268.2308180088776</v>
      </c>
      <c r="AF50" s="7">
        <v>317.05770450221939</v>
      </c>
      <c r="AG50" s="37">
        <f t="shared" si="24"/>
        <v>1947.6401847993477</v>
      </c>
      <c r="AH50" s="29">
        <f t="shared" si="49"/>
        <v>2128.8160159434728</v>
      </c>
      <c r="AI50">
        <f t="shared" si="50"/>
        <v>135.88187335809403</v>
      </c>
      <c r="AJ50">
        <f t="shared" si="51"/>
        <v>90.587915572062684</v>
      </c>
      <c r="AK50">
        <f t="shared" si="52"/>
        <v>135.88187335809403</v>
      </c>
      <c r="AL50">
        <f t="shared" si="53"/>
        <v>181.17583114412537</v>
      </c>
      <c r="AM50">
        <f t="shared" si="54"/>
        <v>1358.8187335809403</v>
      </c>
      <c r="AN50">
        <f t="shared" si="55"/>
        <v>9511.7311350665823</v>
      </c>
      <c r="AO50" s="40">
        <f t="shared" si="56"/>
        <v>5.3617021276595755</v>
      </c>
    </row>
    <row r="51" spans="1:41" x14ac:dyDescent="0.25">
      <c r="A51" s="4" t="s">
        <v>104</v>
      </c>
      <c r="B51" s="4" t="s">
        <v>103</v>
      </c>
      <c r="C51" s="4" t="s">
        <v>362</v>
      </c>
      <c r="D51" s="14">
        <v>39182</v>
      </c>
      <c r="E51" s="14"/>
      <c r="F51" s="4">
        <f t="shared" si="20"/>
        <v>4</v>
      </c>
      <c r="G51" s="4">
        <f t="shared" si="21"/>
        <v>10</v>
      </c>
      <c r="H51" s="4">
        <f t="shared" si="22"/>
        <v>2007</v>
      </c>
      <c r="J51" s="4">
        <v>42.862099999999998</v>
      </c>
      <c r="K51" s="4">
        <v>-69.862300000000005</v>
      </c>
      <c r="L51" s="4">
        <v>2</v>
      </c>
      <c r="M51" s="4" t="s">
        <v>32</v>
      </c>
      <c r="N51" s="4">
        <v>200</v>
      </c>
      <c r="O51" s="4">
        <v>255</v>
      </c>
      <c r="P51" s="4">
        <v>260</v>
      </c>
      <c r="R51" s="4">
        <v>0.44156000000000001</v>
      </c>
      <c r="S51" s="4">
        <v>113</v>
      </c>
      <c r="T51" s="4">
        <v>0.5</v>
      </c>
      <c r="U51" s="6">
        <v>0.50799999999999601</v>
      </c>
      <c r="V51" s="6">
        <f t="shared" si="23"/>
        <v>1.1463716814159202</v>
      </c>
      <c r="X51" s="5">
        <v>39182</v>
      </c>
      <c r="AG51" s="37"/>
    </row>
    <row r="52" spans="1:41" x14ac:dyDescent="0.25">
      <c r="A52" s="4" t="s">
        <v>105</v>
      </c>
      <c r="B52" s="4" t="s">
        <v>106</v>
      </c>
      <c r="C52" s="4" t="s">
        <v>362</v>
      </c>
      <c r="D52" s="14">
        <v>39198</v>
      </c>
      <c r="F52" s="4">
        <f t="shared" si="20"/>
        <v>4</v>
      </c>
      <c r="G52" s="4">
        <f t="shared" si="21"/>
        <v>26</v>
      </c>
      <c r="H52" s="4">
        <f t="shared" si="22"/>
        <v>2007</v>
      </c>
      <c r="J52" s="4">
        <v>42.862099999999998</v>
      </c>
      <c r="K52" s="4">
        <v>-69.862300000000005</v>
      </c>
      <c r="L52" s="4">
        <v>1</v>
      </c>
      <c r="M52" s="4" t="s">
        <v>32</v>
      </c>
      <c r="N52" s="4">
        <v>200</v>
      </c>
      <c r="O52" s="4">
        <v>257</v>
      </c>
      <c r="P52" s="4">
        <v>262</v>
      </c>
      <c r="R52" s="4">
        <v>0.44156000000000001</v>
      </c>
      <c r="S52" s="4">
        <v>113</v>
      </c>
      <c r="T52" s="4">
        <v>0.5</v>
      </c>
      <c r="U52" s="6">
        <v>5.468</v>
      </c>
      <c r="V52" s="6">
        <f t="shared" si="23"/>
        <v>12.436070796460177</v>
      </c>
      <c r="W52" s="7">
        <v>300</v>
      </c>
      <c r="X52" s="5">
        <v>39198</v>
      </c>
      <c r="Y52" s="7">
        <v>123652.50475586558</v>
      </c>
      <c r="Z52" s="7">
        <v>29894.012138780687</v>
      </c>
      <c r="AA52" s="7">
        <v>13588.187335809404</v>
      </c>
      <c r="AB52" s="7">
        <v>4076.4562007428212</v>
      </c>
      <c r="AC52" s="7">
        <v>0</v>
      </c>
      <c r="AD52" s="7">
        <v>1358.8187335809403</v>
      </c>
      <c r="AE52" s="7">
        <v>0</v>
      </c>
      <c r="AF52" s="7">
        <v>0</v>
      </c>
      <c r="AG52" s="37">
        <f t="shared" si="24"/>
        <v>5435.274934323761</v>
      </c>
      <c r="AH52" s="29">
        <f>SUM(Z52:AF52)</f>
        <v>48917.474408913848</v>
      </c>
      <c r="AI52">
        <f>1*Z52</f>
        <v>29894.012138780687</v>
      </c>
      <c r="AJ52">
        <f>2*AA52</f>
        <v>27176.374671618807</v>
      </c>
      <c r="AK52">
        <f>3*AB52</f>
        <v>12229.368602228464</v>
      </c>
      <c r="AL52">
        <f>4*AC52</f>
        <v>0</v>
      </c>
      <c r="AM52">
        <f>5*AD52</f>
        <v>6794.0936679047009</v>
      </c>
      <c r="AN52">
        <f>6*(AE52+AF52)</f>
        <v>0</v>
      </c>
      <c r="AO52" s="40">
        <f>SUM(AI52:AN52)/AH52</f>
        <v>1.5555555555555556</v>
      </c>
    </row>
    <row r="53" spans="1:41" x14ac:dyDescent="0.25">
      <c r="A53" s="4" t="s">
        <v>107</v>
      </c>
      <c r="B53" s="4" t="s">
        <v>108</v>
      </c>
      <c r="C53" s="4" t="s">
        <v>362</v>
      </c>
      <c r="D53" s="14">
        <v>39225</v>
      </c>
      <c r="E53" s="14"/>
      <c r="F53" s="4">
        <f t="shared" si="20"/>
        <v>5</v>
      </c>
      <c r="G53" s="4">
        <f t="shared" si="21"/>
        <v>23</v>
      </c>
      <c r="H53" s="4">
        <f t="shared" si="22"/>
        <v>2007</v>
      </c>
      <c r="J53" s="4">
        <v>42.873800000000003</v>
      </c>
      <c r="K53" s="4">
        <v>-69.882199999999997</v>
      </c>
      <c r="L53" s="4">
        <v>1</v>
      </c>
      <c r="M53" s="4" t="s">
        <v>32</v>
      </c>
      <c r="N53" s="4">
        <v>200</v>
      </c>
      <c r="O53" s="4">
        <v>245</v>
      </c>
      <c r="P53" s="4">
        <v>250</v>
      </c>
      <c r="R53" s="4">
        <v>0.44156000000000001</v>
      </c>
      <c r="S53" s="4">
        <v>108</v>
      </c>
      <c r="T53" s="4">
        <v>0.5</v>
      </c>
      <c r="U53" s="6">
        <v>8.1240000000000006</v>
      </c>
      <c r="V53" s="6">
        <f t="shared" si="23"/>
        <v>18.429444444444446</v>
      </c>
      <c r="X53" s="5">
        <v>39225</v>
      </c>
      <c r="AG53" s="37"/>
    </row>
    <row r="54" spans="1:41" x14ac:dyDescent="0.25">
      <c r="A54" s="4" t="s">
        <v>109</v>
      </c>
      <c r="B54" s="4" t="s">
        <v>108</v>
      </c>
      <c r="C54" s="4" t="s">
        <v>362</v>
      </c>
      <c r="D54" s="14">
        <v>39225</v>
      </c>
      <c r="F54" s="4">
        <f t="shared" si="20"/>
        <v>5</v>
      </c>
      <c r="G54" s="4">
        <f t="shared" si="21"/>
        <v>23</v>
      </c>
      <c r="H54" s="4">
        <f t="shared" si="22"/>
        <v>2007</v>
      </c>
      <c r="J54" s="4">
        <v>42.873800000000003</v>
      </c>
      <c r="K54" s="4">
        <v>-69.882199999999997</v>
      </c>
      <c r="L54" s="4">
        <v>2</v>
      </c>
      <c r="M54" s="4" t="s">
        <v>32</v>
      </c>
      <c r="N54" s="4">
        <v>200</v>
      </c>
      <c r="O54" s="4">
        <v>245</v>
      </c>
      <c r="P54" s="4">
        <v>250</v>
      </c>
      <c r="R54" s="4">
        <v>0.44156000000000001</v>
      </c>
      <c r="S54" s="4">
        <v>108</v>
      </c>
      <c r="T54" s="4">
        <v>0.5</v>
      </c>
      <c r="U54" s="6">
        <v>6.9960000000000004</v>
      </c>
      <c r="V54" s="6">
        <f t="shared" si="23"/>
        <v>15.870555555555557</v>
      </c>
      <c r="W54" s="7">
        <v>160</v>
      </c>
      <c r="X54" s="5">
        <v>39225</v>
      </c>
      <c r="Y54" s="7">
        <v>724.70332457650147</v>
      </c>
      <c r="Z54" s="7">
        <v>0</v>
      </c>
      <c r="AA54" s="7">
        <v>1449.4066491530029</v>
      </c>
      <c r="AB54" s="7">
        <v>1449.4066491530029</v>
      </c>
      <c r="AC54" s="7">
        <v>27538.726333907056</v>
      </c>
      <c r="AD54" s="7">
        <v>47830.419422049097</v>
      </c>
      <c r="AE54" s="7">
        <v>7247.0332457650138</v>
      </c>
      <c r="AF54" s="7">
        <v>1449.4066491530029</v>
      </c>
      <c r="AG54" s="37">
        <f t="shared" si="24"/>
        <v>85514.992300027166</v>
      </c>
      <c r="AH54" s="29">
        <f t="shared" ref="AH54:AH55" si="57">SUM(Z54:AF54)</f>
        <v>86964.398949180177</v>
      </c>
      <c r="AI54">
        <f t="shared" ref="AI54:AI55" si="58">1*Z54</f>
        <v>0</v>
      </c>
      <c r="AJ54">
        <f t="shared" ref="AJ54:AJ55" si="59">2*AA54</f>
        <v>2898.8132983060059</v>
      </c>
      <c r="AK54">
        <f t="shared" ref="AK54:AK55" si="60">3*AB54</f>
        <v>4348.2199474590088</v>
      </c>
      <c r="AL54">
        <f t="shared" ref="AL54:AL55" si="61">4*AC54</f>
        <v>110154.90533562822</v>
      </c>
      <c r="AM54">
        <f t="shared" ref="AM54:AM55" si="62">5*AD54</f>
        <v>239152.09711024549</v>
      </c>
      <c r="AN54">
        <f t="shared" ref="AN54:AN55" si="63">6*(AE54+AF54)</f>
        <v>52178.639369508106</v>
      </c>
      <c r="AO54" s="40">
        <f t="shared" ref="AO54:AO55" si="64">SUM(AI54:AN54)/AH54</f>
        <v>4.7</v>
      </c>
    </row>
    <row r="55" spans="1:41" x14ac:dyDescent="0.25">
      <c r="A55" s="4" t="s">
        <v>110</v>
      </c>
      <c r="B55" s="4" t="s">
        <v>111</v>
      </c>
      <c r="C55" s="4" t="s">
        <v>362</v>
      </c>
      <c r="D55" s="14">
        <v>39251</v>
      </c>
      <c r="F55" s="4">
        <f t="shared" si="20"/>
        <v>6</v>
      </c>
      <c r="G55" s="4">
        <f t="shared" si="21"/>
        <v>18</v>
      </c>
      <c r="H55" s="4">
        <f t="shared" si="22"/>
        <v>2007</v>
      </c>
      <c r="J55" s="4">
        <v>42.863399999999999</v>
      </c>
      <c r="K55" s="4">
        <v>-69.861800000000002</v>
      </c>
      <c r="L55" s="4">
        <v>1</v>
      </c>
      <c r="M55" s="4" t="s">
        <v>32</v>
      </c>
      <c r="N55" s="4">
        <v>200</v>
      </c>
      <c r="O55" s="4">
        <v>257</v>
      </c>
      <c r="P55" s="4">
        <v>262</v>
      </c>
      <c r="R55" s="4">
        <v>0.44156000000000001</v>
      </c>
      <c r="S55" s="4">
        <v>113</v>
      </c>
      <c r="T55" s="4">
        <v>0.5</v>
      </c>
      <c r="U55" s="6">
        <v>4.9619999999999997</v>
      </c>
      <c r="V55" s="6">
        <f t="shared" si="23"/>
        <v>11.285256637168141</v>
      </c>
      <c r="W55" s="7">
        <v>60</v>
      </c>
      <c r="X55" s="5">
        <v>39251</v>
      </c>
      <c r="Y55" s="7">
        <v>271.76374671618811</v>
      </c>
      <c r="Z55" s="7">
        <v>815.29124014856416</v>
      </c>
      <c r="AA55" s="7">
        <v>0</v>
      </c>
      <c r="AB55" s="7">
        <v>815.29124014856416</v>
      </c>
      <c r="AC55" s="7">
        <v>3261.1649605942566</v>
      </c>
      <c r="AD55" s="7">
        <v>32068.122112510191</v>
      </c>
      <c r="AE55" s="7">
        <v>4348.2199474590097</v>
      </c>
      <c r="AF55" s="7">
        <v>815.29124014856416</v>
      </c>
      <c r="AG55" s="37">
        <f t="shared" si="24"/>
        <v>41308.089500860588</v>
      </c>
      <c r="AH55" s="29">
        <f t="shared" si="57"/>
        <v>42123.380741009154</v>
      </c>
      <c r="AI55">
        <f t="shared" si="58"/>
        <v>815.29124014856416</v>
      </c>
      <c r="AJ55">
        <f t="shared" si="59"/>
        <v>0</v>
      </c>
      <c r="AK55">
        <f t="shared" si="60"/>
        <v>2445.8737204456925</v>
      </c>
      <c r="AL55">
        <f t="shared" si="61"/>
        <v>13044.659842377027</v>
      </c>
      <c r="AM55">
        <f t="shared" si="62"/>
        <v>160340.61056255095</v>
      </c>
      <c r="AN55">
        <f t="shared" si="63"/>
        <v>30981.067125645441</v>
      </c>
      <c r="AO55" s="40">
        <f t="shared" si="64"/>
        <v>4.9290322580645149</v>
      </c>
    </row>
    <row r="56" spans="1:41" x14ac:dyDescent="0.25">
      <c r="A56" s="4" t="s">
        <v>112</v>
      </c>
      <c r="B56" s="4" t="s">
        <v>113</v>
      </c>
      <c r="C56" s="4" t="s">
        <v>362</v>
      </c>
      <c r="D56" s="14">
        <v>39280</v>
      </c>
      <c r="E56" s="14"/>
      <c r="F56" s="4">
        <f t="shared" si="20"/>
        <v>7</v>
      </c>
      <c r="G56" s="4">
        <f t="shared" si="21"/>
        <v>17</v>
      </c>
      <c r="H56" s="4">
        <f t="shared" si="22"/>
        <v>2007</v>
      </c>
      <c r="J56" s="4">
        <v>42.863300000000002</v>
      </c>
      <c r="K56" s="4">
        <v>-69.861800000000002</v>
      </c>
      <c r="L56" s="4">
        <v>1</v>
      </c>
      <c r="M56" s="4" t="s">
        <v>32</v>
      </c>
      <c r="N56" s="4">
        <v>200</v>
      </c>
      <c r="O56" s="4">
        <v>252</v>
      </c>
      <c r="P56" s="4">
        <v>257</v>
      </c>
      <c r="R56" s="4">
        <v>0.44156000000000001</v>
      </c>
      <c r="S56" s="4">
        <v>107</v>
      </c>
      <c r="T56" s="4">
        <v>0.5</v>
      </c>
      <c r="U56" s="6">
        <v>7.2759999999999998</v>
      </c>
      <c r="V56" s="6">
        <f t="shared" si="23"/>
        <v>17.136000000000003</v>
      </c>
      <c r="X56" s="5">
        <v>39280</v>
      </c>
      <c r="AG56" s="37"/>
    </row>
    <row r="57" spans="1:41" x14ac:dyDescent="0.25">
      <c r="A57" s="4" t="s">
        <v>114</v>
      </c>
      <c r="B57" s="4" t="s">
        <v>113</v>
      </c>
      <c r="C57" s="4" t="s">
        <v>362</v>
      </c>
      <c r="D57" s="14">
        <v>39280</v>
      </c>
      <c r="F57" s="4">
        <f t="shared" si="20"/>
        <v>7</v>
      </c>
      <c r="G57" s="4">
        <f t="shared" si="21"/>
        <v>17</v>
      </c>
      <c r="H57" s="4">
        <f t="shared" si="22"/>
        <v>2007</v>
      </c>
      <c r="J57" s="4">
        <v>42.863300000000002</v>
      </c>
      <c r="K57" s="4">
        <v>-69.861800000000002</v>
      </c>
      <c r="L57" s="4">
        <v>2</v>
      </c>
      <c r="M57" s="4" t="s">
        <v>32</v>
      </c>
      <c r="N57" s="4">
        <v>200</v>
      </c>
      <c r="O57" s="4">
        <v>252</v>
      </c>
      <c r="P57" s="4">
        <v>257</v>
      </c>
      <c r="R57" s="4">
        <v>0.44156000000000001</v>
      </c>
      <c r="S57" s="4">
        <v>111</v>
      </c>
      <c r="T57" s="4">
        <v>0.5</v>
      </c>
      <c r="U57" s="6">
        <v>7.5640000000000001</v>
      </c>
      <c r="V57" s="6">
        <f t="shared" si="23"/>
        <v>17.172324324324325</v>
      </c>
      <c r="W57" s="7">
        <v>120</v>
      </c>
      <c r="X57" s="5">
        <v>39280</v>
      </c>
      <c r="Y57" s="7">
        <v>4891.747440891384</v>
      </c>
      <c r="Z57" s="7">
        <v>2717.6374671618801</v>
      </c>
      <c r="AA57" s="7">
        <v>543.5274934323761</v>
      </c>
      <c r="AB57" s="7">
        <v>1087.0549868647522</v>
      </c>
      <c r="AC57" s="7">
        <v>10327.022375215145</v>
      </c>
      <c r="AD57" s="7">
        <v>52722.166862940481</v>
      </c>
      <c r="AE57" s="7">
        <v>4348.2199474590088</v>
      </c>
      <c r="AF57" s="7">
        <v>1087.0549868647522</v>
      </c>
      <c r="AG57" s="37">
        <f t="shared" si="24"/>
        <v>69571.519159344127</v>
      </c>
      <c r="AH57" s="29">
        <f t="shared" ref="AH57:AH59" si="65">SUM(Z57:AF57)</f>
        <v>72832.684119938393</v>
      </c>
      <c r="AI57">
        <f t="shared" ref="AI57:AI59" si="66">1*Z57</f>
        <v>2717.6374671618801</v>
      </c>
      <c r="AJ57">
        <f t="shared" ref="AJ57:AJ59" si="67">2*AA57</f>
        <v>1087.0549868647522</v>
      </c>
      <c r="AK57">
        <f t="shared" ref="AK57:AK59" si="68">3*AB57</f>
        <v>3261.1649605942566</v>
      </c>
      <c r="AL57">
        <f t="shared" ref="AL57:AL59" si="69">4*AC57</f>
        <v>41308.08950086058</v>
      </c>
      <c r="AM57">
        <f t="shared" ref="AM57:AM59" si="70">5*AD57</f>
        <v>263610.83431470243</v>
      </c>
      <c r="AN57">
        <f t="shared" ref="AN57:AN59" si="71">6*(AE57+AF57)</f>
        <v>32611.649605942566</v>
      </c>
      <c r="AO57" s="40">
        <f t="shared" ref="AO57:AO59" si="72">SUM(AI57:AN57)/AH57</f>
        <v>4.7313432835820901</v>
      </c>
    </row>
    <row r="58" spans="1:41" x14ac:dyDescent="0.25">
      <c r="A58" s="4" t="s">
        <v>115</v>
      </c>
      <c r="B58" s="4" t="s">
        <v>116</v>
      </c>
      <c r="C58" s="4" t="s">
        <v>362</v>
      </c>
      <c r="D58" s="14">
        <v>39314</v>
      </c>
      <c r="F58" s="4">
        <f t="shared" si="20"/>
        <v>8</v>
      </c>
      <c r="G58" s="4">
        <f t="shared" si="21"/>
        <v>20</v>
      </c>
      <c r="H58" s="4">
        <f t="shared" si="22"/>
        <v>2007</v>
      </c>
      <c r="J58" s="4">
        <v>42.863399999999999</v>
      </c>
      <c r="K58" s="4">
        <v>-69.861800000000002</v>
      </c>
      <c r="L58" s="4">
        <v>1</v>
      </c>
      <c r="M58" s="4" t="s">
        <v>32</v>
      </c>
      <c r="N58" s="4">
        <v>200</v>
      </c>
      <c r="O58" s="4">
        <v>255</v>
      </c>
      <c r="P58" s="4">
        <v>260</v>
      </c>
      <c r="R58" s="4">
        <v>0.44156000000000001</v>
      </c>
      <c r="S58" s="4">
        <v>113</v>
      </c>
      <c r="T58" s="4">
        <v>0.5</v>
      </c>
      <c r="U58" s="6">
        <v>8.0519999999999996</v>
      </c>
      <c r="V58" s="6">
        <f t="shared" si="23"/>
        <v>18.170442477876108</v>
      </c>
      <c r="W58" s="7">
        <v>110</v>
      </c>
      <c r="X58" s="5">
        <v>39314</v>
      </c>
      <c r="Y58" s="7">
        <v>1992.934142585379</v>
      </c>
      <c r="Z58" s="7">
        <v>996.46707129268952</v>
      </c>
      <c r="AA58" s="7">
        <v>996.46707129268952</v>
      </c>
      <c r="AB58" s="7">
        <v>0</v>
      </c>
      <c r="AC58" s="7">
        <v>5480.5688921097926</v>
      </c>
      <c r="AD58" s="7">
        <v>52812.75477851255</v>
      </c>
      <c r="AE58" s="7">
        <v>3487.6347495244136</v>
      </c>
      <c r="AF58" s="7">
        <v>0</v>
      </c>
      <c r="AG58" s="37">
        <f t="shared" si="24"/>
        <v>61780.958420146751</v>
      </c>
      <c r="AH58" s="29">
        <f t="shared" si="65"/>
        <v>63773.89256273213</v>
      </c>
      <c r="AI58">
        <f t="shared" si="66"/>
        <v>996.46707129268952</v>
      </c>
      <c r="AJ58">
        <f t="shared" si="67"/>
        <v>1992.934142585379</v>
      </c>
      <c r="AK58">
        <f t="shared" si="68"/>
        <v>0</v>
      </c>
      <c r="AL58">
        <f t="shared" si="69"/>
        <v>21922.27556843917</v>
      </c>
      <c r="AM58">
        <f t="shared" si="70"/>
        <v>264063.77389256272</v>
      </c>
      <c r="AN58">
        <f t="shared" si="71"/>
        <v>20925.808497146481</v>
      </c>
      <c r="AO58" s="40">
        <f t="shared" si="72"/>
        <v>4.859375</v>
      </c>
    </row>
    <row r="59" spans="1:41" x14ac:dyDescent="0.25">
      <c r="A59" s="4" t="s">
        <v>117</v>
      </c>
      <c r="B59" s="4" t="s">
        <v>118</v>
      </c>
      <c r="C59" s="4" t="s">
        <v>362</v>
      </c>
      <c r="D59" s="14">
        <v>39336</v>
      </c>
      <c r="F59" s="4">
        <f t="shared" si="20"/>
        <v>9</v>
      </c>
      <c r="G59" s="4">
        <f t="shared" si="21"/>
        <v>11</v>
      </c>
      <c r="H59" s="4">
        <f t="shared" si="22"/>
        <v>2007</v>
      </c>
      <c r="J59" s="4">
        <v>42.863399999999999</v>
      </c>
      <c r="K59" s="4">
        <v>-69.861800000000002</v>
      </c>
      <c r="L59" s="4">
        <v>1</v>
      </c>
      <c r="M59" s="4" t="s">
        <v>32</v>
      </c>
      <c r="N59" s="4">
        <v>200</v>
      </c>
      <c r="O59" s="4">
        <v>245</v>
      </c>
      <c r="P59" s="4">
        <v>250</v>
      </c>
      <c r="R59" s="4">
        <v>0.44156000000000001</v>
      </c>
      <c r="S59" s="4">
        <v>108</v>
      </c>
      <c r="T59" s="4">
        <v>0.5</v>
      </c>
      <c r="U59" s="6">
        <v>12.012</v>
      </c>
      <c r="V59" s="6">
        <f t="shared" si="23"/>
        <v>27.249444444444446</v>
      </c>
      <c r="W59" s="7">
        <v>160</v>
      </c>
      <c r="X59" s="5">
        <v>39336</v>
      </c>
      <c r="Y59" s="7">
        <v>1449.4066491530029</v>
      </c>
      <c r="Z59" s="7">
        <v>3623.5166228825069</v>
      </c>
      <c r="AA59" s="7">
        <v>3623.5166228825069</v>
      </c>
      <c r="AB59" s="7">
        <v>4348.2199474590088</v>
      </c>
      <c r="AC59" s="7">
        <v>7971.7365703415162</v>
      </c>
      <c r="AD59" s="7">
        <v>83340.882326297666</v>
      </c>
      <c r="AE59" s="7">
        <v>2898.8132983060059</v>
      </c>
      <c r="AF59" s="7">
        <v>1449.4066491530029</v>
      </c>
      <c r="AG59" s="37">
        <f t="shared" si="24"/>
        <v>100009.05879155721</v>
      </c>
      <c r="AH59" s="29">
        <f t="shared" si="65"/>
        <v>107256.0920373222</v>
      </c>
      <c r="AI59">
        <f t="shared" si="66"/>
        <v>3623.5166228825069</v>
      </c>
      <c r="AJ59">
        <f t="shared" si="67"/>
        <v>7247.0332457650138</v>
      </c>
      <c r="AK59">
        <f t="shared" si="68"/>
        <v>13044.659842377027</v>
      </c>
      <c r="AL59">
        <f t="shared" si="69"/>
        <v>31886.946281366065</v>
      </c>
      <c r="AM59">
        <f t="shared" si="70"/>
        <v>416704.41163148836</v>
      </c>
      <c r="AN59">
        <f t="shared" si="71"/>
        <v>26089.319684754053</v>
      </c>
      <c r="AO59" s="40">
        <f t="shared" si="72"/>
        <v>4.6486486486486491</v>
      </c>
    </row>
    <row r="60" spans="1:41" x14ac:dyDescent="0.25">
      <c r="A60" s="4" t="s">
        <v>119</v>
      </c>
      <c r="B60" s="4" t="s">
        <v>118</v>
      </c>
      <c r="C60" s="4" t="s">
        <v>362</v>
      </c>
      <c r="D60" s="14">
        <v>39336</v>
      </c>
      <c r="E60" s="14"/>
      <c r="F60" s="4">
        <f t="shared" si="20"/>
        <v>9</v>
      </c>
      <c r="G60" s="4">
        <f t="shared" si="21"/>
        <v>11</v>
      </c>
      <c r="H60" s="4">
        <f t="shared" si="22"/>
        <v>2007</v>
      </c>
      <c r="J60" s="4">
        <v>42.863399999999999</v>
      </c>
      <c r="K60" s="4">
        <v>-69.861800000000002</v>
      </c>
      <c r="L60" s="4">
        <v>2</v>
      </c>
      <c r="M60" s="4" t="s">
        <v>32</v>
      </c>
      <c r="N60" s="4">
        <v>200</v>
      </c>
      <c r="O60" s="4">
        <v>245</v>
      </c>
      <c r="P60" s="4">
        <v>250</v>
      </c>
      <c r="R60" s="4">
        <v>0.44156000000000001</v>
      </c>
      <c r="S60" s="4">
        <v>108</v>
      </c>
      <c r="T60" s="4">
        <v>0.5</v>
      </c>
      <c r="U60" s="6">
        <v>11.316000000000001</v>
      </c>
      <c r="V60" s="6">
        <f t="shared" si="23"/>
        <v>25.670555555555559</v>
      </c>
      <c r="X60" s="5">
        <v>39336</v>
      </c>
      <c r="AG60" s="37"/>
    </row>
    <row r="61" spans="1:41" x14ac:dyDescent="0.25">
      <c r="A61" s="4" t="s">
        <v>120</v>
      </c>
      <c r="B61" s="4" t="s">
        <v>121</v>
      </c>
      <c r="C61" s="4" t="s">
        <v>362</v>
      </c>
      <c r="D61" s="14">
        <v>39464</v>
      </c>
      <c r="F61" s="4">
        <f t="shared" si="20"/>
        <v>1</v>
      </c>
      <c r="G61" s="4">
        <f t="shared" si="21"/>
        <v>17</v>
      </c>
      <c r="H61" s="4">
        <f t="shared" si="22"/>
        <v>2008</v>
      </c>
      <c r="J61" s="4">
        <v>42.864600000000003</v>
      </c>
      <c r="K61" s="4">
        <v>-69.863200000000006</v>
      </c>
      <c r="L61" s="4">
        <v>1</v>
      </c>
      <c r="M61" s="4" t="s">
        <v>32</v>
      </c>
      <c r="N61" s="4">
        <v>200</v>
      </c>
      <c r="O61" s="4">
        <v>253</v>
      </c>
      <c r="P61" s="4">
        <v>258</v>
      </c>
      <c r="R61" s="4">
        <v>0.44156000000000001</v>
      </c>
      <c r="S61" s="4">
        <v>112</v>
      </c>
      <c r="T61" s="4">
        <v>0.5</v>
      </c>
      <c r="U61" s="6">
        <v>5.1100000000000101</v>
      </c>
      <c r="V61" s="6">
        <f t="shared" si="23"/>
        <v>11.543125000000023</v>
      </c>
      <c r="W61" s="7">
        <v>93.333333333333329</v>
      </c>
      <c r="X61" s="5">
        <v>39464</v>
      </c>
      <c r="Y61" s="7">
        <v>0</v>
      </c>
      <c r="Z61" s="7">
        <v>0</v>
      </c>
      <c r="AA61" s="7">
        <v>0</v>
      </c>
      <c r="AB61" s="7">
        <v>0</v>
      </c>
      <c r="AC61" s="7">
        <v>422.74360600295921</v>
      </c>
      <c r="AD61" s="7">
        <v>38469.66814626928</v>
      </c>
      <c r="AE61" s="7">
        <v>5072.9232720355103</v>
      </c>
      <c r="AF61" s="7">
        <v>8454.8721200591845</v>
      </c>
      <c r="AG61" s="37">
        <f t="shared" si="24"/>
        <v>52420.207144366927</v>
      </c>
      <c r="AH61" s="29">
        <f>SUM(Z61:AF61)</f>
        <v>52420.207144366927</v>
      </c>
      <c r="AI61">
        <f>1*Z61</f>
        <v>0</v>
      </c>
      <c r="AJ61">
        <f>2*AA61</f>
        <v>0</v>
      </c>
      <c r="AK61">
        <f>3*AB61</f>
        <v>0</v>
      </c>
      <c r="AL61">
        <f>4*AC61</f>
        <v>1690.9744240118368</v>
      </c>
      <c r="AM61">
        <f>5*AD61</f>
        <v>192348.3407313464</v>
      </c>
      <c r="AN61">
        <f>6*(AE61+AF61)</f>
        <v>81166.772352568165</v>
      </c>
      <c r="AO61" s="40">
        <f>SUM(AI61:AN61)/AH61</f>
        <v>5.2500000000000009</v>
      </c>
    </row>
    <row r="62" spans="1:41" x14ac:dyDescent="0.25">
      <c r="A62" s="4" t="s">
        <v>122</v>
      </c>
      <c r="B62" s="4" t="s">
        <v>121</v>
      </c>
      <c r="C62" s="4" t="s">
        <v>362</v>
      </c>
      <c r="D62" s="14">
        <v>39464</v>
      </c>
      <c r="E62" s="14"/>
      <c r="F62" s="4">
        <f t="shared" si="20"/>
        <v>1</v>
      </c>
      <c r="G62" s="4">
        <f t="shared" si="21"/>
        <v>17</v>
      </c>
      <c r="H62" s="4">
        <f t="shared" si="22"/>
        <v>2008</v>
      </c>
      <c r="J62" s="4">
        <v>42.864600000000003</v>
      </c>
      <c r="K62" s="4">
        <v>-69.863200000000006</v>
      </c>
      <c r="L62" s="4">
        <v>2</v>
      </c>
      <c r="M62" s="4" t="s">
        <v>32</v>
      </c>
      <c r="N62" s="4">
        <v>200</v>
      </c>
      <c r="O62" s="4">
        <v>254</v>
      </c>
      <c r="P62" s="4">
        <v>258</v>
      </c>
      <c r="R62" s="4">
        <v>0.44156000000000001</v>
      </c>
      <c r="S62" s="4">
        <v>112</v>
      </c>
      <c r="T62" s="4">
        <v>0.5</v>
      </c>
      <c r="U62" s="6">
        <v>5.5780000000000003</v>
      </c>
      <c r="V62" s="6">
        <f t="shared" si="23"/>
        <v>12.650107142857143</v>
      </c>
      <c r="X62" s="5">
        <v>39464</v>
      </c>
      <c r="AG62" s="37"/>
    </row>
    <row r="63" spans="1:41" x14ac:dyDescent="0.25">
      <c r="A63" s="4" t="s">
        <v>123</v>
      </c>
      <c r="B63" s="4" t="s">
        <v>124</v>
      </c>
      <c r="C63" s="4" t="s">
        <v>362</v>
      </c>
      <c r="D63" s="14">
        <v>39554</v>
      </c>
      <c r="F63" s="4">
        <f t="shared" si="20"/>
        <v>4</v>
      </c>
      <c r="G63" s="4">
        <f t="shared" si="21"/>
        <v>16</v>
      </c>
      <c r="H63" s="4">
        <f t="shared" si="22"/>
        <v>2008</v>
      </c>
      <c r="J63" s="4">
        <v>42.863399999999999</v>
      </c>
      <c r="K63" s="4">
        <v>-69.861800000000002</v>
      </c>
      <c r="L63" s="4">
        <v>1</v>
      </c>
      <c r="M63" s="4" t="s">
        <v>32</v>
      </c>
      <c r="N63" s="4">
        <v>200</v>
      </c>
      <c r="O63" s="4">
        <v>245</v>
      </c>
      <c r="P63" s="4">
        <v>250</v>
      </c>
      <c r="R63" s="4">
        <v>0.44156000000000001</v>
      </c>
      <c r="S63" s="4">
        <v>108</v>
      </c>
      <c r="T63" s="4">
        <v>0.5</v>
      </c>
      <c r="W63" s="7">
        <v>80</v>
      </c>
      <c r="X63" s="14">
        <v>39554</v>
      </c>
      <c r="Y63" s="7">
        <v>46381.012772896094</v>
      </c>
      <c r="Z63" s="7">
        <v>1087.0549868647522</v>
      </c>
      <c r="AA63" s="7">
        <v>362.35166228825074</v>
      </c>
      <c r="AB63" s="7">
        <v>362.35166228825074</v>
      </c>
      <c r="AC63" s="7">
        <v>0</v>
      </c>
      <c r="AD63" s="7">
        <v>0</v>
      </c>
      <c r="AE63" s="7">
        <v>0</v>
      </c>
      <c r="AF63" s="7">
        <v>362.35166228825074</v>
      </c>
      <c r="AG63" s="37">
        <f t="shared" si="24"/>
        <v>724.70332457650147</v>
      </c>
      <c r="AH63" s="29">
        <f>SUM(Z63:AF63)</f>
        <v>2174.1099737295044</v>
      </c>
      <c r="AI63">
        <f>1*Z63</f>
        <v>1087.0549868647522</v>
      </c>
      <c r="AJ63">
        <f>2*AA63</f>
        <v>724.70332457650147</v>
      </c>
      <c r="AK63">
        <f>3*AB63</f>
        <v>1087.0549868647522</v>
      </c>
      <c r="AL63">
        <f>4*AC63</f>
        <v>0</v>
      </c>
      <c r="AM63">
        <f>5*AD63</f>
        <v>0</v>
      </c>
      <c r="AN63">
        <f>6*(AE63+AF63)</f>
        <v>2174.1099737295044</v>
      </c>
      <c r="AO63" s="40">
        <f>SUM(AI63:AN63)/AH63</f>
        <v>2.3333333333333335</v>
      </c>
    </row>
    <row r="64" spans="1:41" x14ac:dyDescent="0.25">
      <c r="A64" s="4" t="s">
        <v>125</v>
      </c>
      <c r="B64" s="4" t="s">
        <v>126</v>
      </c>
      <c r="C64" s="4" t="s">
        <v>362</v>
      </c>
      <c r="D64" s="14">
        <v>39555</v>
      </c>
      <c r="E64" s="14"/>
      <c r="F64" s="4">
        <f t="shared" si="20"/>
        <v>4</v>
      </c>
      <c r="G64" s="4">
        <f t="shared" si="21"/>
        <v>17</v>
      </c>
      <c r="H64" s="4">
        <f t="shared" si="22"/>
        <v>2008</v>
      </c>
      <c r="J64" s="4">
        <v>42.864600000000003</v>
      </c>
      <c r="K64" s="4">
        <v>-69.863200000000006</v>
      </c>
      <c r="L64" s="4">
        <v>1</v>
      </c>
      <c r="M64" s="4" t="s">
        <v>32</v>
      </c>
      <c r="N64" s="4">
        <v>200</v>
      </c>
      <c r="O64" s="4">
        <v>255</v>
      </c>
      <c r="P64" s="4">
        <v>250</v>
      </c>
      <c r="R64" s="4">
        <v>0.44156000000000001</v>
      </c>
      <c r="S64" s="4">
        <v>113</v>
      </c>
      <c r="T64" s="4">
        <v>0.5</v>
      </c>
      <c r="U64" s="6">
        <v>0.57999999999999796</v>
      </c>
      <c r="V64" s="6">
        <f t="shared" ref="V64:V81" si="73">(U64/S64)*O64</f>
        <v>1.3088495575221193</v>
      </c>
      <c r="X64" s="5">
        <v>39555</v>
      </c>
      <c r="AG64" s="37"/>
    </row>
    <row r="65" spans="1:41" x14ac:dyDescent="0.25">
      <c r="A65" s="4" t="s">
        <v>127</v>
      </c>
      <c r="B65" s="4" t="s">
        <v>126</v>
      </c>
      <c r="C65" s="4" t="s">
        <v>362</v>
      </c>
      <c r="D65" s="14">
        <v>39555</v>
      </c>
      <c r="E65" s="14"/>
      <c r="F65" s="4">
        <f t="shared" si="20"/>
        <v>4</v>
      </c>
      <c r="G65" s="4">
        <f t="shared" si="21"/>
        <v>17</v>
      </c>
      <c r="H65" s="4">
        <f t="shared" si="22"/>
        <v>2008</v>
      </c>
      <c r="J65" s="4">
        <v>42.864600000000003</v>
      </c>
      <c r="K65" s="4">
        <v>-69.863200000000006</v>
      </c>
      <c r="L65" s="4">
        <v>2</v>
      </c>
      <c r="M65" s="4" t="s">
        <v>32</v>
      </c>
      <c r="N65" s="4">
        <v>200</v>
      </c>
      <c r="O65" s="4">
        <v>255</v>
      </c>
      <c r="P65" s="4">
        <v>250</v>
      </c>
      <c r="R65" s="4">
        <v>0.44156000000000001</v>
      </c>
      <c r="S65" s="4">
        <v>113</v>
      </c>
      <c r="T65" s="4">
        <v>0.5</v>
      </c>
      <c r="U65" s="6">
        <v>0.54599999999999904</v>
      </c>
      <c r="V65" s="6">
        <f t="shared" si="73"/>
        <v>1.2321238938053076</v>
      </c>
      <c r="X65" s="5">
        <v>39555</v>
      </c>
      <c r="AG65" s="37"/>
    </row>
    <row r="66" spans="1:41" x14ac:dyDescent="0.25">
      <c r="A66" s="4" t="s">
        <v>128</v>
      </c>
      <c r="B66" s="4" t="s">
        <v>129</v>
      </c>
      <c r="C66" s="4" t="s">
        <v>362</v>
      </c>
      <c r="D66" s="14">
        <v>39608</v>
      </c>
      <c r="F66" s="4">
        <f t="shared" si="20"/>
        <v>6</v>
      </c>
      <c r="G66" s="4">
        <f t="shared" si="21"/>
        <v>9</v>
      </c>
      <c r="H66" s="4">
        <f t="shared" si="22"/>
        <v>2008</v>
      </c>
      <c r="J66" s="4">
        <v>42.863399999999999</v>
      </c>
      <c r="K66" s="4">
        <v>-69.861800000000002</v>
      </c>
      <c r="L66" s="4">
        <v>1</v>
      </c>
      <c r="M66" s="4" t="s">
        <v>32</v>
      </c>
      <c r="N66" s="4">
        <v>200</v>
      </c>
      <c r="O66" s="4">
        <v>255</v>
      </c>
      <c r="P66" s="4">
        <v>260</v>
      </c>
      <c r="R66" s="4">
        <v>0.44156000000000001</v>
      </c>
      <c r="S66" s="4">
        <v>113</v>
      </c>
      <c r="T66" s="4">
        <v>0.5</v>
      </c>
      <c r="U66" s="6">
        <v>2.3879999999999999</v>
      </c>
      <c r="V66" s="6">
        <f t="shared" si="73"/>
        <v>5.388849557522124</v>
      </c>
      <c r="W66" s="7">
        <v>120</v>
      </c>
      <c r="X66" s="5">
        <v>39608</v>
      </c>
      <c r="Y66" s="7">
        <v>1087.0549868647522</v>
      </c>
      <c r="Z66" s="7">
        <v>1630.5824802971283</v>
      </c>
      <c r="AA66" s="7">
        <v>543.5274934323761</v>
      </c>
      <c r="AB66" s="7">
        <v>543.5274934323761</v>
      </c>
      <c r="AC66" s="7">
        <v>24458.737204456924</v>
      </c>
      <c r="AD66" s="7">
        <v>20654.044750430294</v>
      </c>
      <c r="AE66" s="7">
        <v>543.5274934323761</v>
      </c>
      <c r="AF66" s="7">
        <v>543.5274934323761</v>
      </c>
      <c r="AG66" s="37">
        <f t="shared" si="24"/>
        <v>46743.36443518434</v>
      </c>
      <c r="AH66" s="29">
        <f>SUM(Z66:AF66)</f>
        <v>48917.474408913848</v>
      </c>
      <c r="AI66">
        <f>1*Z66</f>
        <v>1630.5824802971283</v>
      </c>
      <c r="AJ66">
        <f>2*AA66</f>
        <v>1087.0549868647522</v>
      </c>
      <c r="AK66">
        <f>3*AB66</f>
        <v>1630.5824802971283</v>
      </c>
      <c r="AL66">
        <f>4*AC66</f>
        <v>97834.948817827695</v>
      </c>
      <c r="AM66">
        <f>5*AD66</f>
        <v>103270.22375215148</v>
      </c>
      <c r="AN66">
        <f>6*(AE66+AF66)</f>
        <v>6522.3299211885133</v>
      </c>
      <c r="AO66" s="40">
        <f>SUM(AI66:AN66)/AH66</f>
        <v>4.3333333333333339</v>
      </c>
    </row>
    <row r="67" spans="1:41" x14ac:dyDescent="0.25">
      <c r="A67" s="4" t="s">
        <v>130</v>
      </c>
      <c r="B67" s="4" t="s">
        <v>129</v>
      </c>
      <c r="C67" s="4" t="s">
        <v>362</v>
      </c>
      <c r="D67" s="14">
        <v>39608</v>
      </c>
      <c r="E67" s="14"/>
      <c r="F67" s="4">
        <f t="shared" si="20"/>
        <v>6</v>
      </c>
      <c r="G67" s="4">
        <f t="shared" si="21"/>
        <v>9</v>
      </c>
      <c r="H67" s="4">
        <f t="shared" si="22"/>
        <v>2008</v>
      </c>
      <c r="J67" s="4">
        <v>42.863399999999999</v>
      </c>
      <c r="K67" s="4">
        <v>-69.861800000000002</v>
      </c>
      <c r="L67" s="4">
        <v>2</v>
      </c>
      <c r="M67" s="4" t="s">
        <v>32</v>
      </c>
      <c r="N67" s="4">
        <v>200</v>
      </c>
      <c r="O67" s="4">
        <v>255</v>
      </c>
      <c r="P67" s="4">
        <v>260</v>
      </c>
      <c r="R67" s="4">
        <v>0.44156000000000001</v>
      </c>
      <c r="S67" s="4">
        <v>113</v>
      </c>
      <c r="T67" s="4">
        <v>0.5</v>
      </c>
      <c r="U67" s="6">
        <v>2.4340000000000002</v>
      </c>
      <c r="V67" s="6">
        <f t="shared" si="73"/>
        <v>5.492654867256638</v>
      </c>
      <c r="X67" s="5">
        <v>39608</v>
      </c>
      <c r="AG67" s="37"/>
    </row>
    <row r="68" spans="1:41" x14ac:dyDescent="0.25">
      <c r="A68" s="4" t="s">
        <v>131</v>
      </c>
      <c r="B68" s="4" t="s">
        <v>132</v>
      </c>
      <c r="C68" s="4" t="s">
        <v>362</v>
      </c>
      <c r="D68" s="14">
        <v>39640</v>
      </c>
      <c r="F68" s="4">
        <f t="shared" si="20"/>
        <v>7</v>
      </c>
      <c r="G68" s="4">
        <f t="shared" si="21"/>
        <v>11</v>
      </c>
      <c r="H68" s="4">
        <f t="shared" si="22"/>
        <v>2008</v>
      </c>
      <c r="J68" s="4">
        <v>42.863399999999999</v>
      </c>
      <c r="K68" s="4">
        <v>-69.861800000000002</v>
      </c>
      <c r="L68" s="4">
        <v>1</v>
      </c>
      <c r="M68" s="4" t="s">
        <v>32</v>
      </c>
      <c r="N68" s="4">
        <v>200</v>
      </c>
      <c r="O68" s="4">
        <v>245</v>
      </c>
      <c r="P68" s="4">
        <v>250</v>
      </c>
      <c r="R68" s="4">
        <v>0.44156000000000001</v>
      </c>
      <c r="S68" s="4">
        <v>108</v>
      </c>
      <c r="T68" s="4">
        <v>0.5</v>
      </c>
      <c r="U68" s="6">
        <v>4.93</v>
      </c>
      <c r="V68" s="6">
        <f t="shared" si="73"/>
        <v>11.183796296296295</v>
      </c>
      <c r="W68" s="7">
        <v>100</v>
      </c>
      <c r="X68" s="5">
        <v>39640</v>
      </c>
      <c r="Y68" s="7">
        <v>452.93957786031336</v>
      </c>
      <c r="Z68" s="7">
        <v>0</v>
      </c>
      <c r="AA68" s="7">
        <v>0</v>
      </c>
      <c r="AB68" s="7">
        <v>0</v>
      </c>
      <c r="AC68" s="7">
        <v>8605.8519793459545</v>
      </c>
      <c r="AD68" s="7">
        <v>49823.353564634475</v>
      </c>
      <c r="AE68" s="7">
        <v>11323.489446507836</v>
      </c>
      <c r="AF68" s="7">
        <v>452.93957786031336</v>
      </c>
      <c r="AG68" s="37">
        <f t="shared" si="24"/>
        <v>70205.634568348571</v>
      </c>
      <c r="AH68" s="29">
        <f>SUM(Z68:AF68)</f>
        <v>70205.634568348571</v>
      </c>
      <c r="AI68">
        <f>1*Z68</f>
        <v>0</v>
      </c>
      <c r="AJ68">
        <f>2*AA68</f>
        <v>0</v>
      </c>
      <c r="AK68">
        <f>3*AB68</f>
        <v>0</v>
      </c>
      <c r="AL68">
        <f>4*AC68</f>
        <v>34423.407917383818</v>
      </c>
      <c r="AM68">
        <f>5*AD68</f>
        <v>249116.76782317238</v>
      </c>
      <c r="AN68">
        <f>6*(AE68+AF68)</f>
        <v>70658.574146208906</v>
      </c>
      <c r="AO68" s="40">
        <f>SUM(AI68:AN68)/AH68</f>
        <v>5.0451612903225822</v>
      </c>
    </row>
    <row r="69" spans="1:41" x14ac:dyDescent="0.25">
      <c r="A69" s="4" t="s">
        <v>133</v>
      </c>
      <c r="B69" s="4" t="s">
        <v>132</v>
      </c>
      <c r="C69" s="4" t="s">
        <v>362</v>
      </c>
      <c r="D69" s="14">
        <v>39640</v>
      </c>
      <c r="E69" s="14"/>
      <c r="F69" s="4">
        <f t="shared" si="20"/>
        <v>7</v>
      </c>
      <c r="G69" s="4">
        <f t="shared" si="21"/>
        <v>11</v>
      </c>
      <c r="H69" s="4">
        <f t="shared" si="22"/>
        <v>2008</v>
      </c>
      <c r="J69" s="4">
        <v>42.863399999999999</v>
      </c>
      <c r="K69" s="4">
        <v>-69.861800000000002</v>
      </c>
      <c r="L69" s="4">
        <v>2</v>
      </c>
      <c r="M69" s="4" t="s">
        <v>32</v>
      </c>
      <c r="N69" s="4">
        <v>200</v>
      </c>
      <c r="O69" s="4">
        <v>245</v>
      </c>
      <c r="P69" s="4">
        <v>250</v>
      </c>
      <c r="R69" s="4">
        <v>0.44156000000000001</v>
      </c>
      <c r="S69" s="4">
        <v>108</v>
      </c>
      <c r="T69" s="4">
        <v>0.5</v>
      </c>
      <c r="U69" s="6">
        <v>5.2960000000000003</v>
      </c>
      <c r="V69" s="6">
        <f t="shared" si="73"/>
        <v>12.014074074074074</v>
      </c>
      <c r="X69" s="5">
        <v>39640</v>
      </c>
      <c r="AG69" s="37"/>
    </row>
    <row r="70" spans="1:41" x14ac:dyDescent="0.25">
      <c r="A70" s="4" t="s">
        <v>134</v>
      </c>
      <c r="B70" s="4" t="s">
        <v>116</v>
      </c>
      <c r="C70" s="4" t="s">
        <v>362</v>
      </c>
      <c r="D70" s="14">
        <v>39680</v>
      </c>
      <c r="E70" s="14"/>
      <c r="F70" s="4">
        <f t="shared" si="20"/>
        <v>8</v>
      </c>
      <c r="G70" s="4">
        <f t="shared" si="21"/>
        <v>20</v>
      </c>
      <c r="H70" s="4">
        <f t="shared" si="22"/>
        <v>2008</v>
      </c>
      <c r="J70" s="4">
        <v>42.861699999999999</v>
      </c>
      <c r="K70" s="4">
        <v>69.863299999999995</v>
      </c>
      <c r="L70" s="4">
        <v>2</v>
      </c>
      <c r="M70" s="4" t="s">
        <v>32</v>
      </c>
      <c r="N70" s="4">
        <v>200</v>
      </c>
      <c r="O70" s="4">
        <v>255</v>
      </c>
      <c r="P70" s="4">
        <v>260</v>
      </c>
      <c r="R70" s="4">
        <v>0.44156000000000001</v>
      </c>
      <c r="S70" s="4">
        <v>113</v>
      </c>
      <c r="T70" s="4">
        <v>0.5</v>
      </c>
      <c r="U70" s="6">
        <v>9.4460000000000104</v>
      </c>
      <c r="V70" s="6">
        <f t="shared" si="73"/>
        <v>21.316194690265508</v>
      </c>
      <c r="X70" s="5">
        <v>39680</v>
      </c>
      <c r="AG70" s="37"/>
    </row>
    <row r="71" spans="1:41" x14ac:dyDescent="0.25">
      <c r="A71" s="4" t="s">
        <v>135</v>
      </c>
      <c r="B71" s="4" t="s">
        <v>136</v>
      </c>
      <c r="C71" s="4" t="s">
        <v>362</v>
      </c>
      <c r="D71" s="14">
        <v>40375</v>
      </c>
      <c r="E71" s="14"/>
      <c r="F71" s="4">
        <f t="shared" si="20"/>
        <v>7</v>
      </c>
      <c r="G71" s="4">
        <f t="shared" si="21"/>
        <v>16</v>
      </c>
      <c r="H71" s="4">
        <f t="shared" si="22"/>
        <v>2010</v>
      </c>
      <c r="J71" s="4">
        <v>42.891399999999997</v>
      </c>
      <c r="K71" s="4">
        <v>-69.869900000000001</v>
      </c>
      <c r="L71" s="4">
        <v>1</v>
      </c>
      <c r="M71" s="4" t="s">
        <v>32</v>
      </c>
      <c r="N71" s="4">
        <v>200</v>
      </c>
      <c r="O71" s="4">
        <v>233</v>
      </c>
      <c r="P71" s="4">
        <v>238</v>
      </c>
      <c r="Q71" s="4" t="s">
        <v>137</v>
      </c>
      <c r="R71" s="4">
        <v>0.44156000000000001</v>
      </c>
      <c r="S71" s="4">
        <v>103</v>
      </c>
      <c r="T71" s="4">
        <v>0.5</v>
      </c>
      <c r="U71" s="6">
        <v>9.3819999999999997</v>
      </c>
      <c r="V71" s="6">
        <f t="shared" si="73"/>
        <v>21.223359223300971</v>
      </c>
      <c r="X71" s="5">
        <v>40375</v>
      </c>
      <c r="AG71" s="37"/>
    </row>
    <row r="72" spans="1:41" x14ac:dyDescent="0.25">
      <c r="A72" s="4" t="s">
        <v>138</v>
      </c>
      <c r="B72" s="4" t="s">
        <v>136</v>
      </c>
      <c r="C72" s="4" t="s">
        <v>362</v>
      </c>
      <c r="D72" s="14">
        <v>40375</v>
      </c>
      <c r="F72" s="4">
        <f t="shared" si="20"/>
        <v>7</v>
      </c>
      <c r="G72" s="4">
        <f t="shared" si="21"/>
        <v>16</v>
      </c>
      <c r="H72" s="4">
        <f t="shared" si="22"/>
        <v>2010</v>
      </c>
      <c r="J72" s="4">
        <v>42.891399999999997</v>
      </c>
      <c r="K72" s="4">
        <v>-69.869900000000001</v>
      </c>
      <c r="L72" s="4">
        <v>2</v>
      </c>
      <c r="M72" s="4" t="s">
        <v>32</v>
      </c>
      <c r="N72" s="4">
        <v>200</v>
      </c>
      <c r="O72" s="4">
        <v>233</v>
      </c>
      <c r="P72" s="4">
        <v>238</v>
      </c>
      <c r="Q72" s="4" t="s">
        <v>137</v>
      </c>
      <c r="R72" s="4">
        <v>0.44156000000000001</v>
      </c>
      <c r="S72" s="4">
        <v>103</v>
      </c>
      <c r="T72" s="4">
        <v>0.5</v>
      </c>
      <c r="U72" s="6">
        <v>9.3640000000000008</v>
      </c>
      <c r="V72" s="6">
        <f t="shared" si="73"/>
        <v>21.182640776699028</v>
      </c>
      <c r="W72" s="7">
        <v>110</v>
      </c>
      <c r="X72" s="5">
        <v>40375</v>
      </c>
      <c r="Y72" s="7">
        <v>996.46707129268964</v>
      </c>
      <c r="Z72" s="7">
        <v>498.23353564634482</v>
      </c>
      <c r="AA72" s="7">
        <v>996.46707129268964</v>
      </c>
      <c r="AB72" s="7">
        <v>1992.9341425853793</v>
      </c>
      <c r="AC72" s="7">
        <v>10961.137784219585</v>
      </c>
      <c r="AD72" s="7">
        <v>62777.425491439441</v>
      </c>
      <c r="AE72" s="7">
        <v>1992.9341425853793</v>
      </c>
      <c r="AF72" s="7">
        <v>1494.7006069390343</v>
      </c>
      <c r="AG72" s="37">
        <f t="shared" si="24"/>
        <v>79219.13216776881</v>
      </c>
      <c r="AH72" s="29">
        <f>SUM(Z72:AF72)</f>
        <v>80713.832774707844</v>
      </c>
      <c r="AI72">
        <f>1*Z72</f>
        <v>498.23353564634482</v>
      </c>
      <c r="AJ72">
        <f>2*AA72</f>
        <v>1992.9341425853793</v>
      </c>
      <c r="AK72">
        <f>3*AB72</f>
        <v>5978.8024277561381</v>
      </c>
      <c r="AL72">
        <f>4*AC72</f>
        <v>43844.551136878341</v>
      </c>
      <c r="AM72">
        <f>5*AD72</f>
        <v>313887.12745719717</v>
      </c>
      <c r="AN72">
        <f>6*(AE72+AF72)</f>
        <v>20925.808497146481</v>
      </c>
      <c r="AO72" s="40">
        <f>SUM(AI72:AN72)/AH72</f>
        <v>4.7962962962962958</v>
      </c>
    </row>
    <row r="73" spans="1:41" x14ac:dyDescent="0.25">
      <c r="A73" s="4" t="s">
        <v>139</v>
      </c>
      <c r="B73" s="4" t="s">
        <v>136</v>
      </c>
      <c r="C73" s="4" t="s">
        <v>362</v>
      </c>
      <c r="D73" s="14">
        <v>40375</v>
      </c>
      <c r="E73" s="14"/>
      <c r="F73" s="4">
        <f t="shared" si="20"/>
        <v>7</v>
      </c>
      <c r="G73" s="4">
        <f t="shared" si="21"/>
        <v>16</v>
      </c>
      <c r="H73" s="4">
        <f t="shared" si="22"/>
        <v>2010</v>
      </c>
      <c r="J73" s="4">
        <v>42.891399999999997</v>
      </c>
      <c r="K73" s="4">
        <v>-69.869900000000001</v>
      </c>
      <c r="L73" s="4">
        <v>3</v>
      </c>
      <c r="M73" s="4" t="s">
        <v>32</v>
      </c>
      <c r="N73" s="4">
        <v>200</v>
      </c>
      <c r="O73" s="4">
        <v>233</v>
      </c>
      <c r="P73" s="4">
        <v>238</v>
      </c>
      <c r="Q73" s="4" t="s">
        <v>137</v>
      </c>
      <c r="R73" s="4">
        <v>0.44156000000000001</v>
      </c>
      <c r="S73" s="4">
        <v>103</v>
      </c>
      <c r="T73" s="4">
        <v>0.5</v>
      </c>
      <c r="U73" s="6">
        <v>6.3339999999999996</v>
      </c>
      <c r="V73" s="6">
        <f t="shared" si="73"/>
        <v>14.328368932038833</v>
      </c>
      <c r="X73" s="5">
        <v>40375</v>
      </c>
      <c r="AG73" s="37"/>
    </row>
    <row r="74" spans="1:41" x14ac:dyDescent="0.25">
      <c r="A74" s="4" t="s">
        <v>140</v>
      </c>
      <c r="B74" s="4" t="s">
        <v>136</v>
      </c>
      <c r="C74" s="4" t="s">
        <v>362</v>
      </c>
      <c r="D74" s="14">
        <v>40375</v>
      </c>
      <c r="E74" s="14"/>
      <c r="F74" s="4">
        <f t="shared" si="20"/>
        <v>7</v>
      </c>
      <c r="G74" s="4">
        <f t="shared" si="21"/>
        <v>16</v>
      </c>
      <c r="H74" s="4">
        <f t="shared" si="22"/>
        <v>2010</v>
      </c>
      <c r="J74" s="4">
        <v>42.891399999999997</v>
      </c>
      <c r="K74" s="4">
        <v>-69.869900000000001</v>
      </c>
      <c r="L74" s="4">
        <v>4</v>
      </c>
      <c r="M74" s="4" t="s">
        <v>32</v>
      </c>
      <c r="N74" s="4">
        <v>200</v>
      </c>
      <c r="O74" s="4">
        <v>233</v>
      </c>
      <c r="P74" s="4">
        <v>238</v>
      </c>
      <c r="Q74" s="4" t="s">
        <v>137</v>
      </c>
      <c r="R74" s="4">
        <v>0.44156000000000001</v>
      </c>
      <c r="S74" s="4">
        <v>103</v>
      </c>
      <c r="T74" s="4">
        <v>0.5</v>
      </c>
      <c r="U74" s="6">
        <v>5.7480000000000002</v>
      </c>
      <c r="V74" s="6">
        <f t="shared" si="73"/>
        <v>13.002757281553398</v>
      </c>
      <c r="X74" s="5">
        <v>40375</v>
      </c>
      <c r="AG74" s="37"/>
    </row>
    <row r="75" spans="1:41" x14ac:dyDescent="0.25">
      <c r="A75" s="4" t="s">
        <v>141</v>
      </c>
      <c r="B75" s="4" t="s">
        <v>136</v>
      </c>
      <c r="C75" s="4" t="s">
        <v>362</v>
      </c>
      <c r="D75" s="14">
        <v>40375</v>
      </c>
      <c r="E75" s="14"/>
      <c r="F75" s="4">
        <f t="shared" si="20"/>
        <v>7</v>
      </c>
      <c r="G75" s="4">
        <f t="shared" si="21"/>
        <v>16</v>
      </c>
      <c r="H75" s="4">
        <f t="shared" si="22"/>
        <v>2010</v>
      </c>
      <c r="J75" s="4">
        <v>42.891399999999997</v>
      </c>
      <c r="K75" s="4">
        <v>-69.869900000000001</v>
      </c>
      <c r="L75" s="4">
        <v>5</v>
      </c>
      <c r="M75" s="4" t="s">
        <v>32</v>
      </c>
      <c r="N75" s="4">
        <v>200</v>
      </c>
      <c r="O75" s="4">
        <v>233</v>
      </c>
      <c r="P75" s="4">
        <v>238</v>
      </c>
      <c r="Q75" s="4" t="s">
        <v>137</v>
      </c>
      <c r="R75" s="4">
        <v>0.44156000000000001</v>
      </c>
      <c r="S75" s="4">
        <v>103</v>
      </c>
      <c r="T75" s="4">
        <v>0.5</v>
      </c>
      <c r="U75" s="6">
        <v>6.48200000000001</v>
      </c>
      <c r="V75" s="6">
        <f t="shared" si="73"/>
        <v>14.663165048543711</v>
      </c>
      <c r="X75" s="5">
        <v>40375</v>
      </c>
      <c r="AG75" s="37"/>
    </row>
    <row r="76" spans="1:41" x14ac:dyDescent="0.25">
      <c r="A76" s="4" t="s">
        <v>142</v>
      </c>
      <c r="B76" s="4" t="s">
        <v>136</v>
      </c>
      <c r="C76" s="4" t="s">
        <v>362</v>
      </c>
      <c r="D76" s="14">
        <v>40375</v>
      </c>
      <c r="E76" s="14"/>
      <c r="F76" s="4">
        <f t="shared" si="20"/>
        <v>7</v>
      </c>
      <c r="G76" s="4">
        <f t="shared" si="21"/>
        <v>16</v>
      </c>
      <c r="H76" s="4">
        <f t="shared" si="22"/>
        <v>2010</v>
      </c>
      <c r="J76" s="4">
        <v>42.891399999999997</v>
      </c>
      <c r="K76" s="4">
        <v>-69.869900000000001</v>
      </c>
      <c r="L76" s="4">
        <v>6</v>
      </c>
      <c r="M76" s="4" t="s">
        <v>32</v>
      </c>
      <c r="N76" s="4">
        <v>200</v>
      </c>
      <c r="O76" s="4">
        <v>233</v>
      </c>
      <c r="P76" s="4">
        <v>238</v>
      </c>
      <c r="Q76" s="4" t="s">
        <v>137</v>
      </c>
      <c r="R76" s="4">
        <v>0.44156000000000001</v>
      </c>
      <c r="S76" s="4">
        <v>103</v>
      </c>
      <c r="T76" s="4">
        <v>0.5</v>
      </c>
      <c r="U76" s="6">
        <v>6.1340000000000003</v>
      </c>
      <c r="V76" s="6">
        <f t="shared" si="73"/>
        <v>13.875941747572817</v>
      </c>
      <c r="X76" s="5">
        <v>40375</v>
      </c>
      <c r="AG76" s="37"/>
    </row>
    <row r="77" spans="1:41" x14ac:dyDescent="0.25">
      <c r="A77" s="4" t="s">
        <v>143</v>
      </c>
      <c r="B77" s="4" t="s">
        <v>136</v>
      </c>
      <c r="C77" s="4" t="s">
        <v>362</v>
      </c>
      <c r="D77" s="14">
        <v>40375</v>
      </c>
      <c r="E77" s="14"/>
      <c r="F77" s="4">
        <f t="shared" ref="F77:F140" si="74">MONTH(D77)</f>
        <v>7</v>
      </c>
      <c r="G77" s="4">
        <f t="shared" ref="G77:G140" si="75">DAY(D77)</f>
        <v>16</v>
      </c>
      <c r="H77" s="4">
        <f t="shared" ref="H77:H140" si="76">YEAR(D77)</f>
        <v>2010</v>
      </c>
      <c r="J77" s="4">
        <v>42.891399999999997</v>
      </c>
      <c r="K77" s="4">
        <v>-69.869900000000001</v>
      </c>
      <c r="L77" s="4">
        <v>7</v>
      </c>
      <c r="M77" s="4" t="s">
        <v>32</v>
      </c>
      <c r="N77" s="4">
        <v>200</v>
      </c>
      <c r="O77" s="4">
        <v>233</v>
      </c>
      <c r="P77" s="4">
        <v>238</v>
      </c>
      <c r="Q77" s="4" t="s">
        <v>137</v>
      </c>
      <c r="R77" s="4">
        <v>0.44156000000000001</v>
      </c>
      <c r="S77" s="4">
        <v>103</v>
      </c>
      <c r="T77" s="4">
        <v>0.5</v>
      </c>
      <c r="U77" s="6">
        <v>7.9039999999999999</v>
      </c>
      <c r="V77" s="6">
        <f t="shared" si="73"/>
        <v>17.879922330097088</v>
      </c>
      <c r="X77" s="5">
        <v>40375</v>
      </c>
      <c r="AG77" s="37"/>
    </row>
    <row r="78" spans="1:41" x14ac:dyDescent="0.25">
      <c r="A78" s="4" t="s">
        <v>144</v>
      </c>
      <c r="B78" s="4" t="s">
        <v>136</v>
      </c>
      <c r="C78" s="4" t="s">
        <v>362</v>
      </c>
      <c r="D78" s="14">
        <v>40375</v>
      </c>
      <c r="E78" s="14"/>
      <c r="F78" s="4">
        <f t="shared" si="74"/>
        <v>7</v>
      </c>
      <c r="G78" s="4">
        <f t="shared" si="75"/>
        <v>16</v>
      </c>
      <c r="H78" s="4">
        <f t="shared" si="76"/>
        <v>2010</v>
      </c>
      <c r="J78" s="4">
        <v>42.891399999999997</v>
      </c>
      <c r="K78" s="4">
        <v>-69.869900000000001</v>
      </c>
      <c r="L78" s="4">
        <v>8</v>
      </c>
      <c r="M78" s="4" t="s">
        <v>32</v>
      </c>
      <c r="N78" s="4">
        <v>200</v>
      </c>
      <c r="O78" s="4">
        <v>233</v>
      </c>
      <c r="P78" s="4">
        <v>238</v>
      </c>
      <c r="Q78" s="4" t="s">
        <v>137</v>
      </c>
      <c r="R78" s="4">
        <v>0.44156000000000001</v>
      </c>
      <c r="S78" s="4">
        <v>103</v>
      </c>
      <c r="T78" s="4">
        <v>0.5</v>
      </c>
      <c r="U78" s="6">
        <v>7.1740000000000004</v>
      </c>
      <c r="V78" s="6">
        <f t="shared" si="73"/>
        <v>16.22856310679612</v>
      </c>
      <c r="X78" s="5">
        <v>40375</v>
      </c>
      <c r="AG78" s="37"/>
    </row>
    <row r="79" spans="1:41" ht="15.75" x14ac:dyDescent="0.25">
      <c r="A79" s="34" t="s">
        <v>145</v>
      </c>
      <c r="B79" s="4" t="s">
        <v>146</v>
      </c>
      <c r="C79" s="4" t="s">
        <v>362</v>
      </c>
      <c r="D79" s="14">
        <v>41005</v>
      </c>
      <c r="E79" s="14"/>
      <c r="F79" s="4">
        <f t="shared" si="74"/>
        <v>4</v>
      </c>
      <c r="G79" s="4">
        <f t="shared" si="75"/>
        <v>6</v>
      </c>
      <c r="H79" s="4">
        <f t="shared" si="76"/>
        <v>2012</v>
      </c>
      <c r="I79" s="15">
        <v>0.5</v>
      </c>
      <c r="J79" s="4">
        <v>42.856699999999996</v>
      </c>
      <c r="K79" s="4">
        <v>-69.858999999999995</v>
      </c>
      <c r="L79" s="4" t="s">
        <v>147</v>
      </c>
      <c r="M79" s="4" t="s">
        <v>32</v>
      </c>
      <c r="N79" s="4">
        <v>200</v>
      </c>
      <c r="O79" s="4">
        <v>256</v>
      </c>
      <c r="P79" s="4">
        <v>261</v>
      </c>
      <c r="R79" s="4">
        <v>0.44156000000000001</v>
      </c>
      <c r="S79" s="4">
        <v>113</v>
      </c>
      <c r="T79" s="4">
        <v>0.5</v>
      </c>
      <c r="U79" s="16">
        <f>0.194000000000003*2</f>
        <v>0.38800000000000601</v>
      </c>
      <c r="V79" s="6">
        <f t="shared" si="73"/>
        <v>0.87900884955753578</v>
      </c>
      <c r="W79" s="7">
        <v>80</v>
      </c>
      <c r="X79" s="5">
        <v>41005</v>
      </c>
      <c r="Y79" s="11">
        <v>40583.386176284082</v>
      </c>
      <c r="Z79" s="11">
        <v>5435.274934323761</v>
      </c>
      <c r="AA79" s="11">
        <v>724.70332457650147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37"/>
    </row>
    <row r="80" spans="1:41" x14ac:dyDescent="0.25">
      <c r="A80" s="34" t="s">
        <v>148</v>
      </c>
      <c r="B80" s="4" t="s">
        <v>146</v>
      </c>
      <c r="C80" s="4" t="s">
        <v>362</v>
      </c>
      <c r="D80" s="14">
        <v>41005</v>
      </c>
      <c r="F80" s="4">
        <f t="shared" si="74"/>
        <v>4</v>
      </c>
      <c r="G80" s="4">
        <f t="shared" si="75"/>
        <v>6</v>
      </c>
      <c r="H80" s="4">
        <f t="shared" si="76"/>
        <v>2012</v>
      </c>
      <c r="I80" s="15">
        <v>0.5</v>
      </c>
      <c r="J80" s="4">
        <v>42.856699999999996</v>
      </c>
      <c r="K80" s="4">
        <v>-69.858999999999995</v>
      </c>
      <c r="L80" s="4" t="s">
        <v>149</v>
      </c>
      <c r="M80" s="4" t="s">
        <v>32</v>
      </c>
      <c r="N80" s="4">
        <v>200</v>
      </c>
      <c r="O80" s="4">
        <v>256</v>
      </c>
      <c r="P80" s="4">
        <v>261</v>
      </c>
      <c r="R80" s="4">
        <v>0.44156000000000001</v>
      </c>
      <c r="S80" s="4">
        <v>113</v>
      </c>
      <c r="T80" s="4">
        <v>0.5</v>
      </c>
      <c r="U80" s="6">
        <v>0.64399999999999802</v>
      </c>
      <c r="V80" s="6">
        <f t="shared" si="73"/>
        <v>1.4589734513274291</v>
      </c>
      <c r="W80" s="7">
        <v>100</v>
      </c>
      <c r="X80" s="5">
        <v>41005</v>
      </c>
      <c r="Y80" s="11">
        <v>81982.063592716731</v>
      </c>
      <c r="Z80" s="11">
        <v>7247.0332457650147</v>
      </c>
      <c r="AA80" s="11">
        <v>1811.7583114412537</v>
      </c>
      <c r="AB80" s="11">
        <v>452.93957786031342</v>
      </c>
      <c r="AC80" s="11">
        <v>452.93957786031342</v>
      </c>
      <c r="AD80" s="11">
        <v>0</v>
      </c>
      <c r="AE80" s="11">
        <v>905.87915572062684</v>
      </c>
      <c r="AF80" s="11">
        <v>0</v>
      </c>
      <c r="AG80" s="37">
        <f t="shared" ref="AG80:AG142" si="77">SUM(AB80:AF80)</f>
        <v>1811.7583114412537</v>
      </c>
      <c r="AH80" s="29">
        <f t="shared" ref="AH80:AH81" si="78">SUM(Z80:AF80)</f>
        <v>10870.549868647522</v>
      </c>
      <c r="AI80">
        <f t="shared" ref="AI80:AI81" si="79">1*Z80</f>
        <v>7247.0332457650147</v>
      </c>
      <c r="AJ80">
        <f t="shared" ref="AJ80:AJ81" si="80">2*AA80</f>
        <v>3623.5166228825074</v>
      </c>
      <c r="AK80">
        <f t="shared" ref="AK80:AK81" si="81">3*AB80</f>
        <v>1358.8187335809403</v>
      </c>
      <c r="AL80">
        <f t="shared" ref="AL80:AL81" si="82">4*AC80</f>
        <v>1811.7583114412537</v>
      </c>
      <c r="AM80">
        <f t="shared" ref="AM80:AM81" si="83">5*AD80</f>
        <v>0</v>
      </c>
      <c r="AN80">
        <f t="shared" ref="AN80:AN81" si="84">6*(AE80+AF80)</f>
        <v>5435.274934323761</v>
      </c>
      <c r="AO80" s="40">
        <f t="shared" ref="AO80:AO81" si="85">SUM(AI80:AN80)/AH80</f>
        <v>1.7916666666666665</v>
      </c>
    </row>
    <row r="81" spans="1:41" x14ac:dyDescent="0.25">
      <c r="A81" s="34" t="s">
        <v>150</v>
      </c>
      <c r="B81" s="4" t="s">
        <v>151</v>
      </c>
      <c r="C81" s="4" t="s">
        <v>362</v>
      </c>
      <c r="D81" s="14">
        <v>41053</v>
      </c>
      <c r="F81" s="4">
        <f t="shared" si="74"/>
        <v>5</v>
      </c>
      <c r="G81" s="4">
        <f t="shared" si="75"/>
        <v>24</v>
      </c>
      <c r="H81" s="4">
        <f t="shared" si="76"/>
        <v>2012</v>
      </c>
      <c r="I81" s="15">
        <v>0.49861111111111112</v>
      </c>
      <c r="J81" s="4">
        <v>42.865900000000003</v>
      </c>
      <c r="K81" s="4">
        <v>-69.863500000000002</v>
      </c>
      <c r="L81" s="4" t="s">
        <v>152</v>
      </c>
      <c r="M81" s="4" t="s">
        <v>32</v>
      </c>
      <c r="N81" s="4">
        <v>200</v>
      </c>
      <c r="O81" s="4">
        <v>255</v>
      </c>
      <c r="P81" s="4">
        <v>259</v>
      </c>
      <c r="R81" s="4">
        <v>0.44156000000000001</v>
      </c>
      <c r="S81" s="4">
        <v>113</v>
      </c>
      <c r="T81" s="4">
        <v>0.5</v>
      </c>
      <c r="U81" s="6">
        <v>7.1420000000000003</v>
      </c>
      <c r="V81" s="6">
        <f t="shared" si="73"/>
        <v>16.11690265486726</v>
      </c>
      <c r="W81" s="7">
        <v>120</v>
      </c>
      <c r="X81" s="5">
        <v>41053</v>
      </c>
      <c r="Y81" s="11">
        <v>3261.1649605942566</v>
      </c>
      <c r="Z81" s="11">
        <v>543.5274934323761</v>
      </c>
      <c r="AA81" s="11">
        <v>2174.1099737295044</v>
      </c>
      <c r="AB81" s="11">
        <v>3804.6924540266327</v>
      </c>
      <c r="AC81" s="11">
        <v>23371.68221759217</v>
      </c>
      <c r="AD81" s="11">
        <v>63049.189238155624</v>
      </c>
      <c r="AE81" s="11">
        <v>9783.4948817827699</v>
      </c>
      <c r="AF81" s="11">
        <v>0</v>
      </c>
      <c r="AG81" s="37">
        <f t="shared" si="77"/>
        <v>100009.0587915572</v>
      </c>
      <c r="AH81" s="29">
        <f t="shared" si="78"/>
        <v>102726.69625871908</v>
      </c>
      <c r="AI81">
        <f t="shared" si="79"/>
        <v>543.5274934323761</v>
      </c>
      <c r="AJ81">
        <f t="shared" si="80"/>
        <v>4348.2199474590088</v>
      </c>
      <c r="AK81">
        <f t="shared" si="81"/>
        <v>11414.077362079897</v>
      </c>
      <c r="AL81">
        <f t="shared" si="82"/>
        <v>93486.728870368679</v>
      </c>
      <c r="AM81">
        <f t="shared" si="83"/>
        <v>315245.94619077811</v>
      </c>
      <c r="AN81">
        <f t="shared" si="84"/>
        <v>58700.969290696623</v>
      </c>
      <c r="AO81" s="40">
        <f t="shared" si="85"/>
        <v>4.7089947089947088</v>
      </c>
    </row>
    <row r="82" spans="1:41" x14ac:dyDescent="0.25">
      <c r="A82" s="34" t="s">
        <v>153</v>
      </c>
      <c r="B82" s="4" t="s">
        <v>151</v>
      </c>
      <c r="C82" s="4" t="s">
        <v>362</v>
      </c>
      <c r="D82" s="14">
        <v>41053</v>
      </c>
      <c r="E82" s="14"/>
      <c r="F82" s="4">
        <f t="shared" si="74"/>
        <v>5</v>
      </c>
      <c r="G82" s="4">
        <f t="shared" si="75"/>
        <v>24</v>
      </c>
      <c r="H82" s="4">
        <f t="shared" si="76"/>
        <v>2012</v>
      </c>
      <c r="I82" s="17">
        <v>0.49861111111111112</v>
      </c>
      <c r="J82" s="4">
        <v>42.865900000000003</v>
      </c>
      <c r="K82" s="4">
        <v>-69.863500000000002</v>
      </c>
      <c r="L82" s="4" t="s">
        <v>149</v>
      </c>
      <c r="M82" s="4" t="s">
        <v>32</v>
      </c>
      <c r="N82" s="4">
        <v>200</v>
      </c>
      <c r="O82" s="4">
        <v>255</v>
      </c>
      <c r="P82" s="4">
        <v>259</v>
      </c>
      <c r="R82" s="4">
        <v>0.44156000000000001</v>
      </c>
      <c r="S82" s="4">
        <v>113</v>
      </c>
      <c r="T82" s="4">
        <v>0.5</v>
      </c>
      <c r="X82" s="5">
        <v>41053</v>
      </c>
      <c r="AG82" s="37"/>
    </row>
    <row r="83" spans="1:41" x14ac:dyDescent="0.25">
      <c r="A83" s="34" t="s">
        <v>154</v>
      </c>
      <c r="B83" s="4" t="s">
        <v>151</v>
      </c>
      <c r="C83" s="4" t="s">
        <v>362</v>
      </c>
      <c r="D83" s="14">
        <v>41053</v>
      </c>
      <c r="F83" s="4">
        <f t="shared" si="74"/>
        <v>5</v>
      </c>
      <c r="G83" s="4">
        <f t="shared" si="75"/>
        <v>24</v>
      </c>
      <c r="H83" s="4">
        <f t="shared" si="76"/>
        <v>2012</v>
      </c>
      <c r="I83" s="15">
        <v>0.49861111111111112</v>
      </c>
      <c r="J83" s="4">
        <v>42.865900000000003</v>
      </c>
      <c r="K83" s="4">
        <v>-69.863500000000002</v>
      </c>
      <c r="L83" s="4" t="s">
        <v>155</v>
      </c>
      <c r="M83" s="4" t="s">
        <v>32</v>
      </c>
      <c r="N83" s="4">
        <v>200</v>
      </c>
      <c r="O83" s="4">
        <v>255</v>
      </c>
      <c r="P83" s="4">
        <v>259</v>
      </c>
      <c r="R83" s="4">
        <v>0.44156000000000001</v>
      </c>
      <c r="S83" s="4">
        <v>113</v>
      </c>
      <c r="T83" s="4">
        <v>0.5</v>
      </c>
      <c r="U83" s="6">
        <v>5.97</v>
      </c>
      <c r="V83" s="6">
        <f>(U83/S83)*O83</f>
        <v>13.472123893805309</v>
      </c>
      <c r="W83" s="7">
        <v>160</v>
      </c>
      <c r="X83" s="5">
        <v>41053</v>
      </c>
      <c r="Y83" s="11">
        <v>2174.1099737295044</v>
      </c>
      <c r="Z83" s="11">
        <v>2174.1099737295044</v>
      </c>
      <c r="AA83" s="11">
        <v>3623.5166228825069</v>
      </c>
      <c r="AB83" s="11">
        <v>2174.1099737295044</v>
      </c>
      <c r="AC83" s="11">
        <v>55802.155992390617</v>
      </c>
      <c r="AD83" s="11">
        <v>98559.6521424042</v>
      </c>
      <c r="AE83" s="11">
        <v>8696.4398949180177</v>
      </c>
      <c r="AF83" s="11">
        <v>3623.5166228825069</v>
      </c>
      <c r="AG83" s="37">
        <f t="shared" si="77"/>
        <v>168855.87462632486</v>
      </c>
      <c r="AH83" s="29">
        <f>SUM(Z83:AF83)</f>
        <v>174653.50122293684</v>
      </c>
      <c r="AI83">
        <f>1*Z83</f>
        <v>2174.1099737295044</v>
      </c>
      <c r="AJ83">
        <f>2*AA83</f>
        <v>7247.0332457650138</v>
      </c>
      <c r="AK83">
        <f>3*AB83</f>
        <v>6522.3299211885133</v>
      </c>
      <c r="AL83">
        <f>4*AC83</f>
        <v>223208.62396956247</v>
      </c>
      <c r="AM83">
        <f>5*AD83</f>
        <v>492798.26071202103</v>
      </c>
      <c r="AN83">
        <f>6*(AE83+AF83)</f>
        <v>73919.739106803143</v>
      </c>
      <c r="AO83" s="40">
        <f>SUM(AI83:AN83)/AH83</f>
        <v>4.6141078838174279</v>
      </c>
    </row>
    <row r="84" spans="1:41" x14ac:dyDescent="0.25">
      <c r="A84" s="34" t="s">
        <v>156</v>
      </c>
      <c r="B84" s="4" t="s">
        <v>151</v>
      </c>
      <c r="C84" s="4" t="s">
        <v>362</v>
      </c>
      <c r="D84" s="14">
        <v>41053</v>
      </c>
      <c r="E84" s="14"/>
      <c r="F84" s="4">
        <f t="shared" si="74"/>
        <v>5</v>
      </c>
      <c r="G84" s="4">
        <f t="shared" si="75"/>
        <v>24</v>
      </c>
      <c r="H84" s="4">
        <f t="shared" si="76"/>
        <v>2012</v>
      </c>
      <c r="I84" s="17">
        <v>0.49861111111111112</v>
      </c>
      <c r="J84" s="4">
        <v>42.865900000000003</v>
      </c>
      <c r="K84" s="4">
        <v>-69.863500000000002</v>
      </c>
      <c r="L84" s="4" t="s">
        <v>157</v>
      </c>
      <c r="M84" s="4" t="s">
        <v>32</v>
      </c>
      <c r="N84" s="4">
        <v>200</v>
      </c>
      <c r="O84" s="4">
        <v>255</v>
      </c>
      <c r="P84" s="4">
        <v>259</v>
      </c>
      <c r="R84" s="4">
        <v>0.44156000000000001</v>
      </c>
      <c r="S84" s="4">
        <v>113</v>
      </c>
      <c r="T84" s="4">
        <v>0.5</v>
      </c>
      <c r="X84" s="5">
        <v>41053</v>
      </c>
      <c r="AG84" s="37"/>
    </row>
    <row r="85" spans="1:41" x14ac:dyDescent="0.25">
      <c r="A85" s="34" t="s">
        <v>158</v>
      </c>
      <c r="B85" s="4" t="s">
        <v>159</v>
      </c>
      <c r="C85" s="4" t="s">
        <v>362</v>
      </c>
      <c r="D85" s="14">
        <v>41071</v>
      </c>
      <c r="F85" s="4">
        <f t="shared" si="74"/>
        <v>6</v>
      </c>
      <c r="G85" s="4">
        <f t="shared" si="75"/>
        <v>11</v>
      </c>
      <c r="H85" s="4">
        <f t="shared" si="76"/>
        <v>2012</v>
      </c>
      <c r="I85" s="15">
        <v>0.55138888888888882</v>
      </c>
      <c r="J85" s="4">
        <v>42.861800000000002</v>
      </c>
      <c r="K85" s="4">
        <v>-69.861900000000006</v>
      </c>
      <c r="L85" s="4" t="s">
        <v>147</v>
      </c>
      <c r="M85" s="4" t="s">
        <v>32</v>
      </c>
      <c r="N85" s="4">
        <v>200</v>
      </c>
      <c r="O85" s="4">
        <v>253</v>
      </c>
      <c r="P85" s="4">
        <v>258</v>
      </c>
      <c r="R85" s="4">
        <v>0.44156000000000001</v>
      </c>
      <c r="S85" s="4">
        <v>112</v>
      </c>
      <c r="T85" s="4">
        <v>0.5</v>
      </c>
      <c r="U85" s="6">
        <v>7.4480000000000004</v>
      </c>
      <c r="V85" s="6">
        <f>(U85/S85)*O85</f>
        <v>16.8245</v>
      </c>
      <c r="W85" s="7">
        <v>70</v>
      </c>
      <c r="X85" s="5">
        <v>41071</v>
      </c>
      <c r="Y85" s="11">
        <v>1014.584654407102</v>
      </c>
      <c r="Z85" s="11">
        <v>16909.744240118369</v>
      </c>
      <c r="AA85" s="11">
        <v>59860.494610019014</v>
      </c>
      <c r="AB85" s="11">
        <v>13527.795392094691</v>
      </c>
      <c r="AC85" s="11">
        <v>15218.769816106529</v>
      </c>
      <c r="AD85" s="11">
        <v>49038.258296343265</v>
      </c>
      <c r="AE85" s="11">
        <v>5072.9232720355094</v>
      </c>
      <c r="AF85" s="11">
        <v>338.19488480236731</v>
      </c>
      <c r="AG85" s="37">
        <f t="shared" si="77"/>
        <v>83195.941661382356</v>
      </c>
      <c r="AH85" s="29">
        <f t="shared" ref="AH85:AH86" si="86">SUM(Z85:AF85)</f>
        <v>159966.18051151975</v>
      </c>
      <c r="AI85">
        <f t="shared" ref="AI85:AI86" si="87">1*Z85</f>
        <v>16909.744240118369</v>
      </c>
      <c r="AJ85">
        <f t="shared" ref="AJ85:AJ86" si="88">2*AA85</f>
        <v>119720.98922003803</v>
      </c>
      <c r="AK85">
        <f t="shared" ref="AK85:AK86" si="89">3*AB85</f>
        <v>40583.386176284075</v>
      </c>
      <c r="AL85">
        <f t="shared" ref="AL85:AL86" si="90">4*AC85</f>
        <v>60875.079264426116</v>
      </c>
      <c r="AM85">
        <f t="shared" ref="AM85:AM86" si="91">5*AD85</f>
        <v>245191.29148171633</v>
      </c>
      <c r="AN85">
        <f t="shared" ref="AN85:AN86" si="92">6*(AE85+AF85)</f>
        <v>32466.70894102726</v>
      </c>
      <c r="AO85" s="40">
        <f t="shared" ref="AO85:AO86" si="93">SUM(AI85:AN85)/AH85</f>
        <v>3.2241014799154333</v>
      </c>
    </row>
    <row r="86" spans="1:41" x14ac:dyDescent="0.25">
      <c r="A86" s="34" t="s">
        <v>160</v>
      </c>
      <c r="B86" s="4" t="s">
        <v>159</v>
      </c>
      <c r="C86" s="4" t="s">
        <v>362</v>
      </c>
      <c r="D86" s="14">
        <v>41071</v>
      </c>
      <c r="F86" s="4">
        <f t="shared" si="74"/>
        <v>6</v>
      </c>
      <c r="G86" s="4">
        <f t="shared" si="75"/>
        <v>11</v>
      </c>
      <c r="H86" s="4">
        <f t="shared" si="76"/>
        <v>2012</v>
      </c>
      <c r="I86" s="15">
        <v>0.55138888888888882</v>
      </c>
      <c r="J86" s="4">
        <v>42.861800000000002</v>
      </c>
      <c r="K86" s="4">
        <v>-69.861900000000006</v>
      </c>
      <c r="L86" s="4" t="s">
        <v>149</v>
      </c>
      <c r="M86" s="4" t="s">
        <v>32</v>
      </c>
      <c r="N86" s="4">
        <v>200</v>
      </c>
      <c r="O86" s="4">
        <v>253</v>
      </c>
      <c r="P86" s="4">
        <v>258</v>
      </c>
      <c r="R86" s="4">
        <v>0.44156000000000001</v>
      </c>
      <c r="S86" s="4">
        <v>112</v>
      </c>
      <c r="T86" s="4">
        <v>0.5</v>
      </c>
      <c r="U86" s="6">
        <v>5.6619999999999999</v>
      </c>
      <c r="V86" s="6">
        <f>(U86/S86)*O86</f>
        <v>12.790053571428571</v>
      </c>
      <c r="W86" s="7">
        <v>100</v>
      </c>
      <c r="X86" s="5">
        <v>41071</v>
      </c>
      <c r="Y86" s="11">
        <v>2264.6978893015671</v>
      </c>
      <c r="Z86" s="11">
        <v>20835.220581574416</v>
      </c>
      <c r="AA86" s="11">
        <v>53899.8097653773</v>
      </c>
      <c r="AB86" s="11">
        <v>10417.610290787208</v>
      </c>
      <c r="AC86" s="11">
        <v>5435.274934323761</v>
      </c>
      <c r="AD86" s="11">
        <v>38952.80369598695</v>
      </c>
      <c r="AE86" s="11">
        <v>6794.0936679047009</v>
      </c>
      <c r="AF86" s="11">
        <v>452.93957786031342</v>
      </c>
      <c r="AG86" s="37">
        <f t="shared" si="77"/>
        <v>62052.722166862935</v>
      </c>
      <c r="AH86" s="29">
        <f t="shared" si="86"/>
        <v>136787.75251381466</v>
      </c>
      <c r="AI86">
        <f t="shared" si="87"/>
        <v>20835.220581574416</v>
      </c>
      <c r="AJ86">
        <f t="shared" si="88"/>
        <v>107799.6195307546</v>
      </c>
      <c r="AK86">
        <f t="shared" si="89"/>
        <v>31252.830872361625</v>
      </c>
      <c r="AL86">
        <f t="shared" si="90"/>
        <v>21741.099737295044</v>
      </c>
      <c r="AM86">
        <f t="shared" si="91"/>
        <v>194764.01847993475</v>
      </c>
      <c r="AN86">
        <f t="shared" si="92"/>
        <v>43482.199474590088</v>
      </c>
      <c r="AO86" s="40">
        <f t="shared" si="93"/>
        <v>3.0695364238410594</v>
      </c>
    </row>
    <row r="87" spans="1:41" x14ac:dyDescent="0.25">
      <c r="A87" s="34" t="s">
        <v>161</v>
      </c>
      <c r="B87" s="4" t="s">
        <v>159</v>
      </c>
      <c r="C87" s="4" t="s">
        <v>362</v>
      </c>
      <c r="D87" s="14">
        <v>41071</v>
      </c>
      <c r="E87" s="14"/>
      <c r="F87" s="4">
        <f t="shared" si="74"/>
        <v>6</v>
      </c>
      <c r="G87" s="4">
        <f t="shared" si="75"/>
        <v>11</v>
      </c>
      <c r="H87" s="4">
        <f t="shared" si="76"/>
        <v>2012</v>
      </c>
      <c r="I87" s="17">
        <v>0.55138888888888882</v>
      </c>
      <c r="J87" s="4">
        <v>42.861800000000002</v>
      </c>
      <c r="K87" s="4">
        <v>-69.861900000000006</v>
      </c>
      <c r="L87" s="4" t="s">
        <v>162</v>
      </c>
      <c r="M87" s="4" t="s">
        <v>32</v>
      </c>
      <c r="N87" s="4">
        <v>200</v>
      </c>
      <c r="O87" s="4">
        <v>253</v>
      </c>
      <c r="P87" s="4">
        <v>258</v>
      </c>
      <c r="R87" s="4">
        <v>0.44156000000000001</v>
      </c>
      <c r="S87" s="4">
        <v>112</v>
      </c>
      <c r="T87" s="4">
        <v>0.5</v>
      </c>
      <c r="X87" s="5">
        <v>41071</v>
      </c>
      <c r="AG87" s="37"/>
    </row>
    <row r="88" spans="1:41" x14ac:dyDescent="0.25">
      <c r="A88" s="34" t="s">
        <v>163</v>
      </c>
      <c r="B88" s="4" t="s">
        <v>159</v>
      </c>
      <c r="C88" s="4" t="s">
        <v>362</v>
      </c>
      <c r="D88" s="14">
        <v>41071</v>
      </c>
      <c r="E88" s="14"/>
      <c r="F88" s="4">
        <f t="shared" si="74"/>
        <v>6</v>
      </c>
      <c r="G88" s="4">
        <f t="shared" si="75"/>
        <v>11</v>
      </c>
      <c r="H88" s="4">
        <f t="shared" si="76"/>
        <v>2012</v>
      </c>
      <c r="I88" s="17">
        <v>0.55138888888888882</v>
      </c>
      <c r="J88" s="4">
        <v>42.861800000000002</v>
      </c>
      <c r="K88" s="4">
        <v>-69.861900000000006</v>
      </c>
      <c r="L88" s="4" t="s">
        <v>157</v>
      </c>
      <c r="M88" s="4" t="s">
        <v>32</v>
      </c>
      <c r="N88" s="4">
        <v>200</v>
      </c>
      <c r="O88" s="4">
        <v>253</v>
      </c>
      <c r="P88" s="4">
        <v>258</v>
      </c>
      <c r="R88" s="4">
        <v>0.44156000000000001</v>
      </c>
      <c r="S88" s="4">
        <v>112</v>
      </c>
      <c r="T88" s="4">
        <v>0.5</v>
      </c>
      <c r="X88" s="5">
        <v>41071</v>
      </c>
      <c r="AG88" s="37"/>
    </row>
    <row r="89" spans="1:41" x14ac:dyDescent="0.25">
      <c r="A89" s="34" t="s">
        <v>164</v>
      </c>
      <c r="B89" s="4" t="s">
        <v>165</v>
      </c>
      <c r="C89" s="4" t="s">
        <v>362</v>
      </c>
      <c r="D89" s="14">
        <v>41078</v>
      </c>
      <c r="E89" s="14"/>
      <c r="F89" s="4">
        <f t="shared" si="74"/>
        <v>6</v>
      </c>
      <c r="G89" s="4">
        <f t="shared" si="75"/>
        <v>18</v>
      </c>
      <c r="H89" s="4">
        <f t="shared" si="76"/>
        <v>2012</v>
      </c>
      <c r="I89" s="17">
        <v>0.52430555555555558</v>
      </c>
      <c r="J89" s="4">
        <v>42.862000000000002</v>
      </c>
      <c r="K89" s="4">
        <v>-69.863</v>
      </c>
      <c r="L89" s="4" t="s">
        <v>147</v>
      </c>
      <c r="M89" s="4" t="s">
        <v>32</v>
      </c>
      <c r="N89" s="4">
        <v>200</v>
      </c>
      <c r="O89" s="4">
        <v>253</v>
      </c>
      <c r="P89" s="4">
        <v>260</v>
      </c>
      <c r="R89" s="4">
        <v>0.44156000000000001</v>
      </c>
      <c r="S89" s="4">
        <v>112</v>
      </c>
      <c r="T89" s="4">
        <v>0.5</v>
      </c>
      <c r="X89" s="5">
        <v>41078</v>
      </c>
      <c r="AG89" s="37"/>
    </row>
    <row r="90" spans="1:41" x14ac:dyDescent="0.25">
      <c r="A90" s="34" t="s">
        <v>166</v>
      </c>
      <c r="B90" s="4" t="s">
        <v>165</v>
      </c>
      <c r="C90" s="4" t="s">
        <v>362</v>
      </c>
      <c r="D90" s="14">
        <v>41078</v>
      </c>
      <c r="E90" s="14"/>
      <c r="F90" s="4">
        <f t="shared" si="74"/>
        <v>6</v>
      </c>
      <c r="G90" s="4">
        <f t="shared" si="75"/>
        <v>18</v>
      </c>
      <c r="H90" s="4">
        <f t="shared" si="76"/>
        <v>2012</v>
      </c>
      <c r="I90" s="17">
        <v>0.52430555555555558</v>
      </c>
      <c r="J90" s="4">
        <v>42.862000000000002</v>
      </c>
      <c r="K90" s="4">
        <v>-69.863</v>
      </c>
      <c r="L90" s="4" t="s">
        <v>149</v>
      </c>
      <c r="M90" s="4" t="s">
        <v>32</v>
      </c>
      <c r="N90" s="4">
        <v>200</v>
      </c>
      <c r="O90" s="4">
        <v>253</v>
      </c>
      <c r="P90" s="4">
        <v>260</v>
      </c>
      <c r="R90" s="4">
        <v>0.44156000000000001</v>
      </c>
      <c r="S90" s="4">
        <v>112</v>
      </c>
      <c r="T90" s="4">
        <v>0.5</v>
      </c>
      <c r="X90" s="5">
        <v>41078</v>
      </c>
      <c r="AG90" s="37"/>
    </row>
    <row r="91" spans="1:41" x14ac:dyDescent="0.25">
      <c r="A91" s="34" t="s">
        <v>167</v>
      </c>
      <c r="B91" s="4" t="s">
        <v>168</v>
      </c>
      <c r="C91" s="4" t="s">
        <v>362</v>
      </c>
      <c r="D91" s="14">
        <v>41093</v>
      </c>
      <c r="E91" s="14"/>
      <c r="F91" s="4">
        <f t="shared" si="74"/>
        <v>7</v>
      </c>
      <c r="G91" s="4">
        <f t="shared" si="75"/>
        <v>3</v>
      </c>
      <c r="H91" s="4">
        <f t="shared" si="76"/>
        <v>2012</v>
      </c>
      <c r="I91" s="17">
        <v>0.5</v>
      </c>
      <c r="J91" s="4">
        <v>42.863100000000003</v>
      </c>
      <c r="K91" s="4">
        <v>-69.860200000000006</v>
      </c>
      <c r="L91" s="4" t="s">
        <v>147</v>
      </c>
      <c r="M91" s="4" t="s">
        <v>32</v>
      </c>
      <c r="N91" s="4">
        <v>200</v>
      </c>
      <c r="O91" s="4">
        <v>254</v>
      </c>
      <c r="P91" s="4">
        <v>260</v>
      </c>
      <c r="R91" s="4">
        <v>0.44156000000000001</v>
      </c>
      <c r="S91" s="4">
        <v>112</v>
      </c>
      <c r="T91" s="4">
        <v>0.5</v>
      </c>
      <c r="U91" s="6">
        <v>5.5720000000000001</v>
      </c>
      <c r="V91" s="6">
        <f>(U91/S91)*O91</f>
        <v>12.6365</v>
      </c>
      <c r="X91" s="5">
        <v>41093</v>
      </c>
      <c r="AG91" s="37"/>
    </row>
    <row r="92" spans="1:41" x14ac:dyDescent="0.25">
      <c r="A92" s="34" t="s">
        <v>169</v>
      </c>
      <c r="B92" s="4" t="s">
        <v>168</v>
      </c>
      <c r="C92" s="4" t="s">
        <v>362</v>
      </c>
      <c r="D92" s="14">
        <v>41093</v>
      </c>
      <c r="F92" s="4">
        <f t="shared" si="74"/>
        <v>7</v>
      </c>
      <c r="G92" s="4">
        <f t="shared" si="75"/>
        <v>3</v>
      </c>
      <c r="H92" s="4">
        <f t="shared" si="76"/>
        <v>2012</v>
      </c>
      <c r="I92" s="15">
        <v>0.5</v>
      </c>
      <c r="J92" s="4">
        <v>42.863100000000003</v>
      </c>
      <c r="K92" s="4">
        <v>-69.860200000000006</v>
      </c>
      <c r="L92" s="4" t="s">
        <v>149</v>
      </c>
      <c r="M92" s="4" t="s">
        <v>32</v>
      </c>
      <c r="N92" s="4">
        <v>200</v>
      </c>
      <c r="O92" s="4">
        <v>254</v>
      </c>
      <c r="P92" s="4">
        <v>260</v>
      </c>
      <c r="R92" s="4">
        <v>0.44156000000000001</v>
      </c>
      <c r="S92" s="4">
        <v>112</v>
      </c>
      <c r="T92" s="4">
        <v>0.5</v>
      </c>
      <c r="U92" s="6">
        <v>5.1820000000000004</v>
      </c>
      <c r="V92" s="6">
        <f>(U92/S92)*O92</f>
        <v>11.752035714285714</v>
      </c>
      <c r="W92" s="7">
        <v>53.3333333333333</v>
      </c>
      <c r="X92" s="5">
        <v>41093</v>
      </c>
      <c r="Y92" s="11">
        <v>0</v>
      </c>
      <c r="Z92" s="11">
        <v>0</v>
      </c>
      <c r="AA92" s="11">
        <v>0</v>
      </c>
      <c r="AB92" s="11">
        <v>197.64636124813677</v>
      </c>
      <c r="AC92" s="11">
        <v>19566.98976356554</v>
      </c>
      <c r="AD92" s="11">
        <v>55340.981149478292</v>
      </c>
      <c r="AE92" s="11">
        <v>7708.2080886773338</v>
      </c>
      <c r="AF92" s="11">
        <v>1581.1708899850942</v>
      </c>
      <c r="AG92" s="37">
        <f t="shared" si="77"/>
        <v>84394.996252954399</v>
      </c>
      <c r="AH92" s="29">
        <f>SUM(Z92:AF92)</f>
        <v>84394.996252954399</v>
      </c>
      <c r="AI92">
        <f>1*Z92</f>
        <v>0</v>
      </c>
      <c r="AJ92">
        <f>2*AA92</f>
        <v>0</v>
      </c>
      <c r="AK92">
        <f>3*AB92</f>
        <v>592.93908374441025</v>
      </c>
      <c r="AL92">
        <f>4*AC92</f>
        <v>78267.959054262159</v>
      </c>
      <c r="AM92">
        <f>5*AD92</f>
        <v>276704.90574739146</v>
      </c>
      <c r="AN92">
        <f>6*(AE92+AF92)</f>
        <v>55736.273871974568</v>
      </c>
      <c r="AO92" s="40">
        <f>SUM(AI92:AN92)/AH92</f>
        <v>4.8735362997658074</v>
      </c>
    </row>
    <row r="93" spans="1:41" x14ac:dyDescent="0.25">
      <c r="A93" s="34" t="s">
        <v>170</v>
      </c>
      <c r="B93" s="4" t="s">
        <v>168</v>
      </c>
      <c r="C93" s="4" t="s">
        <v>362</v>
      </c>
      <c r="D93" s="14">
        <v>41093</v>
      </c>
      <c r="E93" s="14"/>
      <c r="F93" s="4">
        <f t="shared" si="74"/>
        <v>7</v>
      </c>
      <c r="G93" s="4">
        <f t="shared" si="75"/>
        <v>3</v>
      </c>
      <c r="H93" s="4">
        <f t="shared" si="76"/>
        <v>2012</v>
      </c>
      <c r="I93" s="17">
        <v>0.5</v>
      </c>
      <c r="J93" s="4">
        <v>42.863100000000003</v>
      </c>
      <c r="K93" s="4">
        <v>-69.860200000000006</v>
      </c>
      <c r="L93" s="4" t="s">
        <v>157</v>
      </c>
      <c r="M93" s="4" t="s">
        <v>32</v>
      </c>
      <c r="N93" s="4">
        <v>200</v>
      </c>
      <c r="O93" s="4">
        <v>254</v>
      </c>
      <c r="P93" s="4">
        <v>260</v>
      </c>
      <c r="R93" s="4">
        <v>0.44156000000000001</v>
      </c>
      <c r="S93" s="4">
        <v>112</v>
      </c>
      <c r="T93" s="4">
        <v>0.5</v>
      </c>
      <c r="X93" s="5">
        <v>41093</v>
      </c>
      <c r="AG93" s="37"/>
    </row>
    <row r="94" spans="1:41" x14ac:dyDescent="0.25">
      <c r="A94" s="34" t="s">
        <v>171</v>
      </c>
      <c r="B94" s="4" t="s">
        <v>172</v>
      </c>
      <c r="C94" s="4" t="s">
        <v>362</v>
      </c>
      <c r="D94" s="14">
        <v>41108</v>
      </c>
      <c r="F94" s="4">
        <f t="shared" si="74"/>
        <v>7</v>
      </c>
      <c r="G94" s="4">
        <f t="shared" si="75"/>
        <v>18</v>
      </c>
      <c r="H94" s="4">
        <f t="shared" si="76"/>
        <v>2012</v>
      </c>
      <c r="I94" s="15">
        <v>0.52083333333333337</v>
      </c>
      <c r="J94" s="4">
        <v>42.860999999999997</v>
      </c>
      <c r="K94" s="4">
        <v>-69.857299999999995</v>
      </c>
      <c r="L94" s="4" t="s">
        <v>147</v>
      </c>
      <c r="M94" s="4" t="s">
        <v>32</v>
      </c>
      <c r="N94" s="4">
        <v>200</v>
      </c>
      <c r="O94" s="4">
        <v>254</v>
      </c>
      <c r="P94" s="4">
        <v>259</v>
      </c>
      <c r="R94" s="4">
        <v>0.44156000000000001</v>
      </c>
      <c r="S94" s="4">
        <v>112</v>
      </c>
      <c r="T94" s="4">
        <v>0.5</v>
      </c>
      <c r="U94" s="6">
        <v>5.1820000000000004</v>
      </c>
      <c r="V94" s="6">
        <f>(U94/S94)*O94</f>
        <v>11.752035714285714</v>
      </c>
      <c r="W94" s="7">
        <v>60</v>
      </c>
      <c r="X94" s="5">
        <v>41108</v>
      </c>
      <c r="Y94" s="11">
        <v>543.5274934323761</v>
      </c>
      <c r="Z94" s="11">
        <v>0</v>
      </c>
      <c r="AA94" s="11">
        <v>0</v>
      </c>
      <c r="AB94" s="11">
        <v>271.76374671618805</v>
      </c>
      <c r="AC94" s="11">
        <v>7881.148654769454</v>
      </c>
      <c r="AD94" s="11">
        <v>53809.221849805239</v>
      </c>
      <c r="AE94" s="11">
        <v>4619.9836941751973</v>
      </c>
      <c r="AF94" s="11">
        <v>271.76374671618805</v>
      </c>
      <c r="AG94" s="37">
        <f t="shared" si="77"/>
        <v>66853.881692182258</v>
      </c>
      <c r="AH94" s="29">
        <f t="shared" ref="AH94:AH95" si="94">SUM(Z94:AF94)</f>
        <v>66853.881692182258</v>
      </c>
      <c r="AI94">
        <f t="shared" ref="AI94:AI95" si="95">1*Z94</f>
        <v>0</v>
      </c>
      <c r="AJ94">
        <f t="shared" ref="AJ94:AJ95" si="96">2*AA94</f>
        <v>0</v>
      </c>
      <c r="AK94">
        <f t="shared" ref="AK94:AK95" si="97">3*AB94</f>
        <v>815.29124014856416</v>
      </c>
      <c r="AL94">
        <f t="shared" ref="AL94:AL95" si="98">4*AC94</f>
        <v>31524.594619077816</v>
      </c>
      <c r="AM94">
        <f t="shared" ref="AM94:AM95" si="99">5*AD94</f>
        <v>269046.10924902617</v>
      </c>
      <c r="AN94">
        <f t="shared" ref="AN94:AN95" si="100">6*(AE94+AF94)</f>
        <v>29350.484645348315</v>
      </c>
      <c r="AO94" s="40">
        <f t="shared" ref="AO94:AO95" si="101">SUM(AI94:AN94)/AH94</f>
        <v>4.9471544715447164</v>
      </c>
    </row>
    <row r="95" spans="1:41" x14ac:dyDescent="0.25">
      <c r="A95" s="34" t="s">
        <v>173</v>
      </c>
      <c r="B95" s="4" t="s">
        <v>172</v>
      </c>
      <c r="C95" s="4" t="s">
        <v>362</v>
      </c>
      <c r="D95" s="14">
        <v>41108</v>
      </c>
      <c r="F95" s="4">
        <f t="shared" si="74"/>
        <v>7</v>
      </c>
      <c r="G95" s="4">
        <f t="shared" si="75"/>
        <v>18</v>
      </c>
      <c r="H95" s="4">
        <f t="shared" si="76"/>
        <v>2012</v>
      </c>
      <c r="I95" s="15">
        <v>0.52083333333333337</v>
      </c>
      <c r="J95" s="4">
        <v>42.860999999999997</v>
      </c>
      <c r="K95" s="4">
        <v>-69.857299999999995</v>
      </c>
      <c r="L95" s="4" t="s">
        <v>149</v>
      </c>
      <c r="M95" s="4" t="s">
        <v>32</v>
      </c>
      <c r="N95" s="4">
        <v>200</v>
      </c>
      <c r="O95" s="4">
        <v>254</v>
      </c>
      <c r="P95" s="4">
        <v>259</v>
      </c>
      <c r="R95" s="4">
        <v>0.44156000000000001</v>
      </c>
      <c r="S95" s="4">
        <v>112</v>
      </c>
      <c r="T95" s="4">
        <v>0.5</v>
      </c>
      <c r="U95" s="6">
        <v>5.95</v>
      </c>
      <c r="V95" s="6">
        <f>(U95/S95)*O95</f>
        <v>13.49375</v>
      </c>
      <c r="W95" s="7">
        <v>60</v>
      </c>
      <c r="X95" s="5">
        <v>41108</v>
      </c>
      <c r="Y95" s="11">
        <v>271.76374671618805</v>
      </c>
      <c r="Z95" s="11">
        <v>0</v>
      </c>
      <c r="AA95" s="11">
        <v>0</v>
      </c>
      <c r="AB95" s="11">
        <v>0</v>
      </c>
      <c r="AC95" s="11">
        <v>10327.022375215147</v>
      </c>
      <c r="AD95" s="11">
        <v>58429.205543980439</v>
      </c>
      <c r="AE95" s="11">
        <v>4348.2199474590088</v>
      </c>
      <c r="AF95" s="11">
        <v>271.76374671618805</v>
      </c>
      <c r="AG95" s="37">
        <f t="shared" si="77"/>
        <v>73376.21161337079</v>
      </c>
      <c r="AH95" s="29">
        <f t="shared" si="94"/>
        <v>73376.21161337079</v>
      </c>
      <c r="AI95">
        <f t="shared" si="95"/>
        <v>0</v>
      </c>
      <c r="AJ95">
        <f t="shared" si="96"/>
        <v>0</v>
      </c>
      <c r="AK95">
        <f t="shared" si="97"/>
        <v>0</v>
      </c>
      <c r="AL95">
        <f t="shared" si="98"/>
        <v>41308.089500860588</v>
      </c>
      <c r="AM95">
        <f t="shared" si="99"/>
        <v>292146.02771990222</v>
      </c>
      <c r="AN95">
        <f t="shared" si="100"/>
        <v>27719.902165051179</v>
      </c>
      <c r="AO95" s="40">
        <f t="shared" si="101"/>
        <v>4.9222222222222225</v>
      </c>
    </row>
    <row r="96" spans="1:41" x14ac:dyDescent="0.25">
      <c r="A96" s="34" t="s">
        <v>174</v>
      </c>
      <c r="B96" s="4" t="s">
        <v>172</v>
      </c>
      <c r="C96" s="4" t="s">
        <v>362</v>
      </c>
      <c r="D96" s="14">
        <v>41108</v>
      </c>
      <c r="E96" s="14"/>
      <c r="F96" s="4">
        <f t="shared" si="74"/>
        <v>7</v>
      </c>
      <c r="G96" s="4">
        <f t="shared" si="75"/>
        <v>18</v>
      </c>
      <c r="H96" s="4">
        <f t="shared" si="76"/>
        <v>2012</v>
      </c>
      <c r="I96" s="15">
        <v>0.52083333333333337</v>
      </c>
      <c r="J96" s="4">
        <v>42.860999999999997</v>
      </c>
      <c r="K96" s="4">
        <v>-69.857299999999995</v>
      </c>
      <c r="L96" s="4" t="s">
        <v>162</v>
      </c>
      <c r="M96" s="4" t="s">
        <v>32</v>
      </c>
      <c r="N96" s="4">
        <v>200</v>
      </c>
      <c r="O96" s="4">
        <v>254</v>
      </c>
      <c r="P96" s="4">
        <v>259</v>
      </c>
      <c r="R96" s="4">
        <v>0.44156000000000001</v>
      </c>
      <c r="S96" s="4">
        <v>112</v>
      </c>
      <c r="T96" s="4">
        <v>0.5</v>
      </c>
      <c r="X96" s="5">
        <v>41108</v>
      </c>
      <c r="AG96" s="37"/>
    </row>
    <row r="97" spans="1:41" x14ac:dyDescent="0.25">
      <c r="A97" s="34" t="s">
        <v>175</v>
      </c>
      <c r="B97" s="4" t="s">
        <v>176</v>
      </c>
      <c r="C97" s="4" t="s">
        <v>362</v>
      </c>
      <c r="D97" s="14">
        <v>41128</v>
      </c>
      <c r="F97" s="4">
        <f t="shared" si="74"/>
        <v>8</v>
      </c>
      <c r="G97" s="4">
        <f t="shared" si="75"/>
        <v>7</v>
      </c>
      <c r="H97" s="4">
        <f t="shared" si="76"/>
        <v>2012</v>
      </c>
      <c r="I97" s="15">
        <v>0.49652777777777773</v>
      </c>
      <c r="J97" s="4">
        <v>42.861600000000003</v>
      </c>
      <c r="K97" s="4">
        <v>-69.861400000000003</v>
      </c>
      <c r="L97" s="4" t="s">
        <v>147</v>
      </c>
      <c r="M97" s="4" t="s">
        <v>32</v>
      </c>
      <c r="N97" s="4">
        <v>200</v>
      </c>
      <c r="O97" s="4">
        <v>249</v>
      </c>
      <c r="P97" s="4">
        <v>258</v>
      </c>
      <c r="R97" s="4">
        <v>0.44156000000000001</v>
      </c>
      <c r="S97" s="4">
        <v>110</v>
      </c>
      <c r="T97" s="4">
        <v>0.5</v>
      </c>
      <c r="U97" s="6">
        <v>5.6980000000000004</v>
      </c>
      <c r="V97" s="6">
        <f>(U97/S97)*O97</f>
        <v>12.898200000000001</v>
      </c>
      <c r="W97" s="7">
        <v>40</v>
      </c>
      <c r="X97" s="5">
        <v>41128</v>
      </c>
      <c r="Y97" s="11">
        <v>0</v>
      </c>
      <c r="Z97" s="11">
        <v>0</v>
      </c>
      <c r="AA97" s="11">
        <v>0</v>
      </c>
      <c r="AB97" s="11">
        <v>0</v>
      </c>
      <c r="AC97" s="11">
        <v>5435.274934323761</v>
      </c>
      <c r="AD97" s="11">
        <v>36235.166228825074</v>
      </c>
      <c r="AE97" s="11">
        <v>1992.934142585379</v>
      </c>
      <c r="AF97" s="11">
        <v>181.17583114412537</v>
      </c>
      <c r="AG97" s="37">
        <f t="shared" si="77"/>
        <v>43844.551136878334</v>
      </c>
      <c r="AH97" s="29">
        <f>SUM(Z97:AF97)</f>
        <v>43844.551136878334</v>
      </c>
      <c r="AI97">
        <f>1*Z97</f>
        <v>0</v>
      </c>
      <c r="AJ97">
        <f>2*AA97</f>
        <v>0</v>
      </c>
      <c r="AK97">
        <f>3*AB97</f>
        <v>0</v>
      </c>
      <c r="AL97">
        <f>4*AC97</f>
        <v>21741.099737295044</v>
      </c>
      <c r="AM97">
        <f>5*AD97</f>
        <v>181175.83114412538</v>
      </c>
      <c r="AN97">
        <f>6*(AE97+AF97)</f>
        <v>13044.659842377027</v>
      </c>
      <c r="AO97" s="40">
        <f>SUM(AI97:AN97)/AH97</f>
        <v>4.9256198347107443</v>
      </c>
    </row>
    <row r="98" spans="1:41" x14ac:dyDescent="0.25">
      <c r="A98" s="34" t="s">
        <v>177</v>
      </c>
      <c r="B98" s="4" t="s">
        <v>176</v>
      </c>
      <c r="C98" s="4" t="s">
        <v>362</v>
      </c>
      <c r="D98" s="14">
        <v>41128</v>
      </c>
      <c r="E98" s="14"/>
      <c r="F98" s="4">
        <f t="shared" si="74"/>
        <v>8</v>
      </c>
      <c r="G98" s="4">
        <f t="shared" si="75"/>
        <v>7</v>
      </c>
      <c r="H98" s="4">
        <f t="shared" si="76"/>
        <v>2012</v>
      </c>
      <c r="I98" s="15">
        <v>0.49652777777777773</v>
      </c>
      <c r="J98" s="4">
        <v>42.861600000000003</v>
      </c>
      <c r="K98" s="4">
        <v>-69.861400000000003</v>
      </c>
      <c r="L98" s="4" t="s">
        <v>149</v>
      </c>
      <c r="M98" s="4" t="s">
        <v>32</v>
      </c>
      <c r="N98" s="4">
        <v>200</v>
      </c>
      <c r="O98" s="4">
        <v>249</v>
      </c>
      <c r="P98" s="4">
        <v>258</v>
      </c>
      <c r="R98" s="4">
        <v>0.44156000000000001</v>
      </c>
      <c r="S98" s="4">
        <v>110</v>
      </c>
      <c r="T98" s="4">
        <v>0.5</v>
      </c>
      <c r="X98" s="5">
        <v>41128</v>
      </c>
      <c r="AG98" s="37"/>
    </row>
    <row r="99" spans="1:41" x14ac:dyDescent="0.25">
      <c r="A99" s="34" t="s">
        <v>178</v>
      </c>
      <c r="B99" s="4" t="s">
        <v>176</v>
      </c>
      <c r="C99" s="4" t="s">
        <v>362</v>
      </c>
      <c r="D99" s="14">
        <v>41128</v>
      </c>
      <c r="F99" s="4">
        <f t="shared" si="74"/>
        <v>8</v>
      </c>
      <c r="G99" s="4">
        <f t="shared" si="75"/>
        <v>7</v>
      </c>
      <c r="H99" s="4">
        <f t="shared" si="76"/>
        <v>2012</v>
      </c>
      <c r="I99" s="15">
        <v>0.49652777777777773</v>
      </c>
      <c r="J99" s="4">
        <v>42.861600000000003</v>
      </c>
      <c r="K99" s="4">
        <v>-69.861400000000003</v>
      </c>
      <c r="L99" s="4" t="s">
        <v>162</v>
      </c>
      <c r="M99" s="4" t="s">
        <v>32</v>
      </c>
      <c r="N99" s="4">
        <v>200</v>
      </c>
      <c r="O99" s="4">
        <v>248</v>
      </c>
      <c r="P99" s="4">
        <v>258</v>
      </c>
      <c r="R99" s="4">
        <v>0.44156000000000001</v>
      </c>
      <c r="S99" s="4">
        <v>110</v>
      </c>
      <c r="T99" s="4">
        <v>0.5</v>
      </c>
      <c r="W99" s="7">
        <v>60</v>
      </c>
      <c r="X99" s="5">
        <v>41128</v>
      </c>
      <c r="Y99" s="11">
        <v>0</v>
      </c>
      <c r="Z99" s="11">
        <v>0</v>
      </c>
      <c r="AA99" s="11">
        <v>0</v>
      </c>
      <c r="AB99" s="11">
        <v>543.5274934323761</v>
      </c>
      <c r="AC99" s="11">
        <v>5163.5111876075734</v>
      </c>
      <c r="AD99" s="11">
        <v>34242.232086239695</v>
      </c>
      <c r="AE99" s="11">
        <v>815.29124014856416</v>
      </c>
      <c r="AF99" s="11">
        <v>271.76374671618805</v>
      </c>
      <c r="AG99" s="37">
        <f t="shared" si="77"/>
        <v>41036.325754144404</v>
      </c>
      <c r="AH99" s="29">
        <f>SUM(Z99:AF99)</f>
        <v>41036.325754144404</v>
      </c>
      <c r="AI99">
        <f>1*Z99</f>
        <v>0</v>
      </c>
      <c r="AJ99">
        <f>2*AA99</f>
        <v>0</v>
      </c>
      <c r="AK99">
        <f>3*AB99</f>
        <v>1630.5824802971283</v>
      </c>
      <c r="AL99">
        <f>4*AC99</f>
        <v>20654.044750430294</v>
      </c>
      <c r="AM99">
        <f>5*AD99</f>
        <v>171211.16043119848</v>
      </c>
      <c r="AN99">
        <f>6*(AE99+AF99)</f>
        <v>6522.3299211885133</v>
      </c>
      <c r="AO99" s="40">
        <f>SUM(AI99:AN99)/AH99</f>
        <v>4.8741721854304627</v>
      </c>
    </row>
    <row r="100" spans="1:41" x14ac:dyDescent="0.25">
      <c r="A100" s="34" t="s">
        <v>179</v>
      </c>
      <c r="B100" s="4" t="s">
        <v>180</v>
      </c>
      <c r="C100" s="4" t="s">
        <v>362</v>
      </c>
      <c r="D100" s="14">
        <v>41148</v>
      </c>
      <c r="E100" s="14"/>
      <c r="F100" s="4">
        <f t="shared" si="74"/>
        <v>8</v>
      </c>
      <c r="G100" s="4">
        <f t="shared" si="75"/>
        <v>27</v>
      </c>
      <c r="H100" s="4">
        <f t="shared" si="76"/>
        <v>2012</v>
      </c>
      <c r="I100" s="15">
        <v>0.44166666666666665</v>
      </c>
      <c r="J100" s="4">
        <v>42.857300000000002</v>
      </c>
      <c r="K100" s="4">
        <v>-69.864000000000004</v>
      </c>
      <c r="L100" s="4" t="s">
        <v>147</v>
      </c>
      <c r="M100" s="4" t="s">
        <v>32</v>
      </c>
      <c r="N100" s="4">
        <v>200</v>
      </c>
      <c r="O100" s="4">
        <v>251</v>
      </c>
      <c r="P100" s="4">
        <v>256</v>
      </c>
      <c r="R100" s="4">
        <v>0.44156000000000001</v>
      </c>
      <c r="S100" s="4">
        <v>111</v>
      </c>
      <c r="T100" s="4">
        <v>0.5</v>
      </c>
      <c r="X100" s="5">
        <v>41148</v>
      </c>
      <c r="AG100" s="37"/>
    </row>
    <row r="101" spans="1:41" x14ac:dyDescent="0.25">
      <c r="A101" s="34" t="s">
        <v>181</v>
      </c>
      <c r="B101" s="4" t="s">
        <v>180</v>
      </c>
      <c r="C101" s="4" t="s">
        <v>362</v>
      </c>
      <c r="D101" s="14">
        <v>41148</v>
      </c>
      <c r="F101" s="4">
        <f t="shared" si="74"/>
        <v>8</v>
      </c>
      <c r="G101" s="4">
        <f t="shared" si="75"/>
        <v>27</v>
      </c>
      <c r="H101" s="4">
        <f t="shared" si="76"/>
        <v>2012</v>
      </c>
      <c r="I101" s="15">
        <v>0.44166666666666665</v>
      </c>
      <c r="J101" s="4">
        <v>42.857300000000002</v>
      </c>
      <c r="K101" s="4">
        <v>-69.864000000000004</v>
      </c>
      <c r="L101" s="4" t="s">
        <v>149</v>
      </c>
      <c r="M101" s="4" t="s">
        <v>32</v>
      </c>
      <c r="N101" s="4">
        <v>200</v>
      </c>
      <c r="O101" s="4">
        <v>251</v>
      </c>
      <c r="P101" s="4">
        <v>256</v>
      </c>
      <c r="R101" s="4">
        <v>0.44156000000000001</v>
      </c>
      <c r="S101" s="4">
        <v>111</v>
      </c>
      <c r="T101" s="4">
        <v>0.5</v>
      </c>
      <c r="U101" s="6">
        <v>6.5640000000000001</v>
      </c>
      <c r="V101" s="6">
        <f>(U101/S101)*O101</f>
        <v>14.842918918918919</v>
      </c>
      <c r="W101" s="7">
        <v>50</v>
      </c>
      <c r="X101" s="5">
        <v>41148</v>
      </c>
      <c r="Y101" s="11">
        <v>0</v>
      </c>
      <c r="Z101" s="11">
        <v>0</v>
      </c>
      <c r="AA101" s="11">
        <v>0</v>
      </c>
      <c r="AB101" s="11">
        <v>0</v>
      </c>
      <c r="AC101" s="11">
        <v>5208.805145393605</v>
      </c>
      <c r="AD101" s="11">
        <v>45746.897363891658</v>
      </c>
      <c r="AE101" s="11">
        <v>2717.6374671618805</v>
      </c>
      <c r="AF101" s="11">
        <v>226.46978893015674</v>
      </c>
      <c r="AG101" s="37">
        <f t="shared" si="77"/>
        <v>53899.8097653773</v>
      </c>
      <c r="AH101" s="29">
        <f t="shared" ref="AH101:AH102" si="102">SUM(Z101:AF101)</f>
        <v>53899.8097653773</v>
      </c>
      <c r="AI101">
        <f t="shared" ref="AI101:AI102" si="103">1*Z101</f>
        <v>0</v>
      </c>
      <c r="AJ101">
        <f t="shared" ref="AJ101:AJ102" si="104">2*AA101</f>
        <v>0</v>
      </c>
      <c r="AK101">
        <f t="shared" ref="AK101:AK102" si="105">3*AB101</f>
        <v>0</v>
      </c>
      <c r="AL101">
        <f t="shared" ref="AL101:AL102" si="106">4*AC101</f>
        <v>20835.22058157442</v>
      </c>
      <c r="AM101">
        <f t="shared" ref="AM101:AM102" si="107">5*AD101</f>
        <v>228734.48681945828</v>
      </c>
      <c r="AN101">
        <f t="shared" ref="AN101:AN102" si="108">6*(AE101+AF101)</f>
        <v>17664.643536552227</v>
      </c>
      <c r="AO101" s="40">
        <f t="shared" ref="AO101:AO102" si="109">SUM(AI101:AN101)/AH101</f>
        <v>4.9579831932773111</v>
      </c>
    </row>
    <row r="102" spans="1:41" x14ac:dyDescent="0.25">
      <c r="A102" s="34" t="s">
        <v>182</v>
      </c>
      <c r="B102" s="4" t="s">
        <v>180</v>
      </c>
      <c r="C102" s="4" t="s">
        <v>362</v>
      </c>
      <c r="D102" s="14">
        <v>41148</v>
      </c>
      <c r="F102" s="4">
        <f t="shared" si="74"/>
        <v>8</v>
      </c>
      <c r="G102" s="4">
        <f t="shared" si="75"/>
        <v>27</v>
      </c>
      <c r="H102" s="4">
        <f t="shared" si="76"/>
        <v>2012</v>
      </c>
      <c r="I102" s="15">
        <v>0.44166666666666665</v>
      </c>
      <c r="J102" s="4">
        <v>42.857300000000002</v>
      </c>
      <c r="K102" s="4">
        <v>-69.864000000000004</v>
      </c>
      <c r="L102" s="4" t="s">
        <v>162</v>
      </c>
      <c r="M102" s="4" t="s">
        <v>32</v>
      </c>
      <c r="N102" s="4">
        <v>200</v>
      </c>
      <c r="O102" s="4">
        <v>251</v>
      </c>
      <c r="P102" s="4">
        <v>256</v>
      </c>
      <c r="Q102" s="4" t="s">
        <v>157</v>
      </c>
      <c r="R102" s="4">
        <v>0.44156000000000001</v>
      </c>
      <c r="S102" s="4">
        <v>111</v>
      </c>
      <c r="T102" s="4">
        <v>0.5</v>
      </c>
      <c r="U102" s="6">
        <v>6.0060000000000002</v>
      </c>
      <c r="V102" s="6">
        <f>(U102/S102)*O102</f>
        <v>13.581135135135135</v>
      </c>
      <c r="W102" s="7">
        <v>50</v>
      </c>
      <c r="X102" s="5">
        <v>41148</v>
      </c>
      <c r="Y102" s="11">
        <v>0</v>
      </c>
      <c r="Z102" s="11">
        <v>0</v>
      </c>
      <c r="AA102" s="11">
        <v>0</v>
      </c>
      <c r="AB102" s="11">
        <v>0</v>
      </c>
      <c r="AC102" s="11">
        <v>5661.744723253918</v>
      </c>
      <c r="AD102" s="11">
        <v>47558.655675332913</v>
      </c>
      <c r="AE102" s="11">
        <v>2944.1072560920375</v>
      </c>
      <c r="AF102" s="11">
        <v>0</v>
      </c>
      <c r="AG102" s="37">
        <f t="shared" si="77"/>
        <v>56164.50765467887</v>
      </c>
      <c r="AH102" s="29">
        <f t="shared" si="102"/>
        <v>56164.50765467887</v>
      </c>
      <c r="AI102">
        <f t="shared" si="103"/>
        <v>0</v>
      </c>
      <c r="AJ102">
        <f t="shared" si="104"/>
        <v>0</v>
      </c>
      <c r="AK102">
        <f t="shared" si="105"/>
        <v>0</v>
      </c>
      <c r="AL102">
        <f t="shared" si="106"/>
        <v>22646.978893015672</v>
      </c>
      <c r="AM102">
        <f t="shared" si="107"/>
        <v>237793.27837666456</v>
      </c>
      <c r="AN102">
        <f t="shared" si="108"/>
        <v>17664.643536552227</v>
      </c>
      <c r="AO102" s="40">
        <f t="shared" si="109"/>
        <v>4.9516129032258069</v>
      </c>
    </row>
    <row r="103" spans="1:41" x14ac:dyDescent="0.25">
      <c r="A103" s="34" t="s">
        <v>183</v>
      </c>
      <c r="B103" s="4" t="s">
        <v>184</v>
      </c>
      <c r="C103" s="4" t="s">
        <v>362</v>
      </c>
      <c r="D103" s="14">
        <v>41166</v>
      </c>
      <c r="E103" s="14"/>
      <c r="F103" s="4">
        <f t="shared" si="74"/>
        <v>9</v>
      </c>
      <c r="G103" s="4">
        <f t="shared" si="75"/>
        <v>14</v>
      </c>
      <c r="H103" s="4">
        <f t="shared" si="76"/>
        <v>2012</v>
      </c>
      <c r="I103" s="17">
        <v>0.55555555555555558</v>
      </c>
      <c r="J103" s="4">
        <v>42.85</v>
      </c>
      <c r="K103" s="4">
        <v>-69.849999999999994</v>
      </c>
      <c r="L103" s="4" t="s">
        <v>147</v>
      </c>
      <c r="M103" s="4" t="s">
        <v>32</v>
      </c>
      <c r="N103" s="4">
        <v>200</v>
      </c>
      <c r="O103" s="4">
        <v>252</v>
      </c>
      <c r="P103" s="4">
        <v>257</v>
      </c>
      <c r="R103" s="4">
        <v>0.44156000000000001</v>
      </c>
      <c r="S103" s="4">
        <v>111</v>
      </c>
      <c r="T103" s="4">
        <v>0.5</v>
      </c>
      <c r="X103" s="5">
        <v>41166</v>
      </c>
      <c r="AG103" s="37"/>
    </row>
    <row r="104" spans="1:41" x14ac:dyDescent="0.25">
      <c r="A104" s="34" t="s">
        <v>185</v>
      </c>
      <c r="B104" s="4" t="s">
        <v>184</v>
      </c>
      <c r="C104" s="4" t="s">
        <v>362</v>
      </c>
      <c r="D104" s="14">
        <v>41166</v>
      </c>
      <c r="F104" s="4">
        <f t="shared" si="74"/>
        <v>9</v>
      </c>
      <c r="G104" s="4">
        <f t="shared" si="75"/>
        <v>14</v>
      </c>
      <c r="H104" s="4">
        <f t="shared" si="76"/>
        <v>2012</v>
      </c>
      <c r="I104" s="17">
        <v>0.55555555555555558</v>
      </c>
      <c r="J104" s="4">
        <v>42.85</v>
      </c>
      <c r="K104" s="4">
        <v>-69.849999999999994</v>
      </c>
      <c r="L104" s="4" t="s">
        <v>149</v>
      </c>
      <c r="M104" s="4" t="s">
        <v>32</v>
      </c>
      <c r="N104" s="4">
        <v>200</v>
      </c>
      <c r="O104" s="4">
        <v>252</v>
      </c>
      <c r="P104" s="4">
        <v>257</v>
      </c>
      <c r="R104" s="4">
        <v>0.44156000000000001</v>
      </c>
      <c r="S104" s="4">
        <v>111</v>
      </c>
      <c r="T104" s="4">
        <v>0.5</v>
      </c>
      <c r="W104" s="7">
        <v>60</v>
      </c>
      <c r="X104" s="5">
        <v>41166</v>
      </c>
      <c r="Y104" s="11">
        <v>0</v>
      </c>
      <c r="Z104" s="11">
        <v>0</v>
      </c>
      <c r="AA104" s="11">
        <v>0</v>
      </c>
      <c r="AB104" s="11">
        <v>543.5274934323761</v>
      </c>
      <c r="AC104" s="11">
        <v>3261.1649605942566</v>
      </c>
      <c r="AD104" s="11">
        <v>18479.934776700786</v>
      </c>
      <c r="AE104" s="11">
        <v>271.76374671618805</v>
      </c>
      <c r="AF104" s="11">
        <v>0</v>
      </c>
      <c r="AG104" s="37">
        <f t="shared" si="77"/>
        <v>22556.390977443607</v>
      </c>
      <c r="AH104" s="29">
        <f t="shared" ref="AH104:AH107" si="110">SUM(Z104:AF104)</f>
        <v>22556.390977443607</v>
      </c>
      <c r="AI104">
        <f t="shared" ref="AI104:AI107" si="111">1*Z104</f>
        <v>0</v>
      </c>
      <c r="AJ104">
        <f t="shared" ref="AJ104:AJ107" si="112">2*AA104</f>
        <v>0</v>
      </c>
      <c r="AK104">
        <f t="shared" ref="AK104:AK107" si="113">3*AB104</f>
        <v>1630.5824802971283</v>
      </c>
      <c r="AL104">
        <f t="shared" ref="AL104:AL107" si="114">4*AC104</f>
        <v>13044.659842377027</v>
      </c>
      <c r="AM104">
        <f t="shared" ref="AM104:AM107" si="115">5*AD104</f>
        <v>92399.673883503929</v>
      </c>
      <c r="AN104">
        <f t="shared" ref="AN104:AN107" si="116">6*(AE104+AF104)</f>
        <v>1630.5824802971283</v>
      </c>
      <c r="AO104" s="40">
        <f t="shared" ref="AO104:AO107" si="117">SUM(AI104:AN104)/AH104</f>
        <v>4.8192771084337345</v>
      </c>
    </row>
    <row r="105" spans="1:41" x14ac:dyDescent="0.25">
      <c r="A105" s="34" t="s">
        <v>186</v>
      </c>
      <c r="B105" s="4" t="s">
        <v>184</v>
      </c>
      <c r="C105" s="4" t="s">
        <v>362</v>
      </c>
      <c r="D105" s="14">
        <v>41166</v>
      </c>
      <c r="F105" s="4">
        <f t="shared" si="74"/>
        <v>9</v>
      </c>
      <c r="G105" s="4">
        <f t="shared" si="75"/>
        <v>14</v>
      </c>
      <c r="H105" s="4">
        <f t="shared" si="76"/>
        <v>2012</v>
      </c>
      <c r="I105" s="17">
        <v>0.55555555555555558</v>
      </c>
      <c r="J105" s="4">
        <v>42.85</v>
      </c>
      <c r="K105" s="4">
        <v>-69.849999999999994</v>
      </c>
      <c r="L105" s="4" t="s">
        <v>162</v>
      </c>
      <c r="M105" s="4" t="s">
        <v>32</v>
      </c>
      <c r="N105" s="4">
        <v>200</v>
      </c>
      <c r="O105" s="4">
        <v>252</v>
      </c>
      <c r="P105" s="4">
        <v>257</v>
      </c>
      <c r="R105" s="4">
        <v>0.44156000000000001</v>
      </c>
      <c r="S105" s="4">
        <v>111</v>
      </c>
      <c r="T105" s="4">
        <v>0.5</v>
      </c>
      <c r="U105" s="6">
        <v>3.65</v>
      </c>
      <c r="V105" s="6">
        <f>(U105/S105)*O105</f>
        <v>8.2864864864864849</v>
      </c>
      <c r="W105" s="7">
        <v>35</v>
      </c>
      <c r="X105" s="5">
        <v>41166</v>
      </c>
      <c r="Y105" s="11">
        <v>0</v>
      </c>
      <c r="Z105" s="11">
        <v>0</v>
      </c>
      <c r="AA105" s="11">
        <v>0</v>
      </c>
      <c r="AB105" s="11">
        <v>0</v>
      </c>
      <c r="AC105" s="11">
        <v>3963.2213062777423</v>
      </c>
      <c r="AD105" s="11">
        <v>30754.59733671528</v>
      </c>
      <c r="AE105" s="11">
        <v>1585.288522511097</v>
      </c>
      <c r="AF105" s="11">
        <v>158.5288522511097</v>
      </c>
      <c r="AG105" s="37">
        <f t="shared" si="77"/>
        <v>36461.636017755227</v>
      </c>
      <c r="AH105" s="29">
        <f t="shared" si="110"/>
        <v>36461.636017755227</v>
      </c>
      <c r="AI105">
        <f t="shared" si="111"/>
        <v>0</v>
      </c>
      <c r="AJ105">
        <f t="shared" si="112"/>
        <v>0</v>
      </c>
      <c r="AK105">
        <f t="shared" si="113"/>
        <v>0</v>
      </c>
      <c r="AL105">
        <f t="shared" si="114"/>
        <v>15852.885225110969</v>
      </c>
      <c r="AM105">
        <f t="shared" si="115"/>
        <v>153772.9866835764</v>
      </c>
      <c r="AN105">
        <f t="shared" si="116"/>
        <v>10462.904248573241</v>
      </c>
      <c r="AO105" s="40">
        <f t="shared" si="117"/>
        <v>4.9391304347826086</v>
      </c>
    </row>
    <row r="106" spans="1:41" x14ac:dyDescent="0.25">
      <c r="A106" s="34" t="s">
        <v>187</v>
      </c>
      <c r="B106" s="4" t="s">
        <v>188</v>
      </c>
      <c r="C106" s="4" t="s">
        <v>362</v>
      </c>
      <c r="D106" s="14">
        <v>41206</v>
      </c>
      <c r="F106" s="4">
        <f t="shared" si="74"/>
        <v>10</v>
      </c>
      <c r="G106" s="4">
        <f t="shared" si="75"/>
        <v>24</v>
      </c>
      <c r="H106" s="4">
        <f t="shared" si="76"/>
        <v>2012</v>
      </c>
      <c r="I106" s="17">
        <v>0.53055555555555556</v>
      </c>
      <c r="J106" s="4">
        <v>42.857799999999997</v>
      </c>
      <c r="K106" s="4">
        <v>-69.863</v>
      </c>
      <c r="L106" s="4" t="s">
        <v>147</v>
      </c>
      <c r="M106" s="4" t="s">
        <v>32</v>
      </c>
      <c r="N106" s="4">
        <v>200</v>
      </c>
      <c r="O106" s="4">
        <v>250</v>
      </c>
      <c r="P106" s="4">
        <v>255</v>
      </c>
      <c r="Q106" s="4" t="s">
        <v>189</v>
      </c>
      <c r="R106" s="4">
        <v>0.44156000000000001</v>
      </c>
      <c r="S106" s="4">
        <v>110</v>
      </c>
      <c r="T106" s="4">
        <v>0.5</v>
      </c>
      <c r="U106" s="6">
        <v>6.1139999999999999</v>
      </c>
      <c r="V106" s="6">
        <f>(U106/S106)*O106</f>
        <v>13.895454545454546</v>
      </c>
      <c r="W106" s="7">
        <v>90</v>
      </c>
      <c r="X106" s="5">
        <v>41206</v>
      </c>
      <c r="Y106" s="11">
        <v>0</v>
      </c>
      <c r="Z106" s="11">
        <v>0</v>
      </c>
      <c r="AA106" s="11">
        <v>0</v>
      </c>
      <c r="AB106" s="11">
        <v>0</v>
      </c>
      <c r="AC106" s="11">
        <v>1630.5824802971283</v>
      </c>
      <c r="AD106" s="11">
        <v>35057.523326388255</v>
      </c>
      <c r="AE106" s="11">
        <v>1630.5824802971283</v>
      </c>
      <c r="AF106" s="11">
        <v>0</v>
      </c>
      <c r="AG106" s="37">
        <f t="shared" si="77"/>
        <v>38318.688286982506</v>
      </c>
      <c r="AH106" s="29">
        <f t="shared" si="110"/>
        <v>38318.688286982506</v>
      </c>
      <c r="AI106">
        <f t="shared" si="111"/>
        <v>0</v>
      </c>
      <c r="AJ106">
        <f t="shared" si="112"/>
        <v>0</v>
      </c>
      <c r="AK106">
        <f t="shared" si="113"/>
        <v>0</v>
      </c>
      <c r="AL106">
        <f t="shared" si="114"/>
        <v>6522.3299211885133</v>
      </c>
      <c r="AM106">
        <f t="shared" si="115"/>
        <v>175287.61663194129</v>
      </c>
      <c r="AN106">
        <f t="shared" si="116"/>
        <v>9783.4948817827699</v>
      </c>
      <c r="AO106" s="40">
        <f t="shared" si="117"/>
        <v>5.0000000000000009</v>
      </c>
    </row>
    <row r="107" spans="1:41" x14ac:dyDescent="0.25">
      <c r="A107" s="34" t="s">
        <v>190</v>
      </c>
      <c r="B107" s="4" t="s">
        <v>188</v>
      </c>
      <c r="C107" s="4" t="s">
        <v>362</v>
      </c>
      <c r="D107" s="14">
        <v>41206</v>
      </c>
      <c r="F107" s="4">
        <f t="shared" si="74"/>
        <v>10</v>
      </c>
      <c r="G107" s="4">
        <f t="shared" si="75"/>
        <v>24</v>
      </c>
      <c r="H107" s="4">
        <f t="shared" si="76"/>
        <v>2012</v>
      </c>
      <c r="I107" s="15">
        <v>0.53055555555555556</v>
      </c>
      <c r="J107" s="4">
        <v>42.857799999999997</v>
      </c>
      <c r="K107" s="4">
        <v>-69.863</v>
      </c>
      <c r="L107" s="4" t="s">
        <v>162</v>
      </c>
      <c r="M107" s="4" t="s">
        <v>32</v>
      </c>
      <c r="N107" s="4">
        <v>200</v>
      </c>
      <c r="O107" s="4">
        <v>250</v>
      </c>
      <c r="P107" s="4">
        <v>255</v>
      </c>
      <c r="Q107" s="4" t="s">
        <v>189</v>
      </c>
      <c r="R107" s="4">
        <v>0.44156000000000001</v>
      </c>
      <c r="S107" s="4">
        <v>110</v>
      </c>
      <c r="T107" s="4">
        <v>0.5</v>
      </c>
      <c r="U107" s="6">
        <v>3.964</v>
      </c>
      <c r="V107" s="6">
        <f>(U107/S107)*O107</f>
        <v>9.0090909090909097</v>
      </c>
      <c r="W107" s="7">
        <v>25</v>
      </c>
      <c r="X107" s="5">
        <v>41206</v>
      </c>
      <c r="Y107" s="11">
        <v>113.23489446507836</v>
      </c>
      <c r="Z107" s="11">
        <v>0</v>
      </c>
      <c r="AA107" s="11">
        <v>0</v>
      </c>
      <c r="AB107" s="11">
        <v>0</v>
      </c>
      <c r="AC107" s="11">
        <v>1585.2885225110972</v>
      </c>
      <c r="AD107" s="11">
        <v>24345.502309991847</v>
      </c>
      <c r="AE107" s="11">
        <v>339.70468339523507</v>
      </c>
      <c r="AF107" s="11">
        <v>0</v>
      </c>
      <c r="AG107" s="37">
        <f t="shared" si="77"/>
        <v>26270.495515898179</v>
      </c>
      <c r="AH107" s="29">
        <f t="shared" si="110"/>
        <v>26270.495515898179</v>
      </c>
      <c r="AI107">
        <f t="shared" si="111"/>
        <v>0</v>
      </c>
      <c r="AJ107">
        <f t="shared" si="112"/>
        <v>0</v>
      </c>
      <c r="AK107">
        <f t="shared" si="113"/>
        <v>0</v>
      </c>
      <c r="AL107">
        <f t="shared" si="114"/>
        <v>6341.1540900443888</v>
      </c>
      <c r="AM107">
        <f t="shared" si="115"/>
        <v>121727.51154995924</v>
      </c>
      <c r="AN107">
        <f t="shared" si="116"/>
        <v>2038.2281003714104</v>
      </c>
      <c r="AO107" s="40">
        <f t="shared" si="117"/>
        <v>4.9525862068965525</v>
      </c>
    </row>
    <row r="108" spans="1:41" x14ac:dyDescent="0.25">
      <c r="A108" s="34" t="s">
        <v>191</v>
      </c>
      <c r="B108" s="4" t="s">
        <v>192</v>
      </c>
      <c r="C108" s="4" t="s">
        <v>362</v>
      </c>
      <c r="D108" s="14">
        <v>41219</v>
      </c>
      <c r="E108" s="14"/>
      <c r="F108" s="4">
        <f t="shared" si="74"/>
        <v>11</v>
      </c>
      <c r="G108" s="4">
        <f t="shared" si="75"/>
        <v>6</v>
      </c>
      <c r="H108" s="4">
        <f t="shared" si="76"/>
        <v>2012</v>
      </c>
      <c r="I108" s="17">
        <v>0.50347222222222221</v>
      </c>
      <c r="J108" s="4">
        <v>42.859099999999998</v>
      </c>
      <c r="K108" s="4">
        <v>-69.865700000000004</v>
      </c>
      <c r="L108" s="4" t="s">
        <v>147</v>
      </c>
      <c r="M108" s="4" t="s">
        <v>32</v>
      </c>
      <c r="N108" s="4">
        <v>200</v>
      </c>
      <c r="O108" s="4">
        <v>249</v>
      </c>
      <c r="P108" s="4">
        <v>254</v>
      </c>
      <c r="R108" s="4">
        <v>0.44156000000000001</v>
      </c>
      <c r="S108" s="4">
        <v>110</v>
      </c>
      <c r="T108" s="4">
        <v>0.5</v>
      </c>
      <c r="X108" s="5">
        <v>41219</v>
      </c>
      <c r="AG108" s="37"/>
    </row>
    <row r="109" spans="1:41" x14ac:dyDescent="0.25">
      <c r="A109" s="34" t="s">
        <v>193</v>
      </c>
      <c r="B109" s="4" t="s">
        <v>192</v>
      </c>
      <c r="C109" s="4" t="s">
        <v>362</v>
      </c>
      <c r="D109" s="14">
        <v>41219</v>
      </c>
      <c r="F109" s="4">
        <f t="shared" si="74"/>
        <v>11</v>
      </c>
      <c r="G109" s="4">
        <f t="shared" si="75"/>
        <v>6</v>
      </c>
      <c r="H109" s="4">
        <f t="shared" si="76"/>
        <v>2012</v>
      </c>
      <c r="I109" s="17">
        <v>0.50347222222222221</v>
      </c>
      <c r="J109" s="4">
        <v>42.859099999999998</v>
      </c>
      <c r="K109" s="4">
        <v>-69.865700000000004</v>
      </c>
      <c r="L109" s="4" t="s">
        <v>194</v>
      </c>
      <c r="M109" s="4" t="s">
        <v>32</v>
      </c>
      <c r="N109" s="4">
        <v>200</v>
      </c>
      <c r="O109" s="4">
        <v>249</v>
      </c>
      <c r="P109" s="4">
        <v>254</v>
      </c>
      <c r="R109" s="4">
        <v>0.44156000000000001</v>
      </c>
      <c r="S109" s="4">
        <v>110</v>
      </c>
      <c r="T109" s="4">
        <v>0.5</v>
      </c>
      <c r="U109" s="6">
        <v>3.95</v>
      </c>
      <c r="V109" s="6">
        <f>(U109/S109)*O109</f>
        <v>8.9413636363636364</v>
      </c>
      <c r="W109" s="7">
        <v>66.6666666666667</v>
      </c>
      <c r="X109" s="5">
        <v>41219</v>
      </c>
      <c r="Y109" s="11">
        <v>0</v>
      </c>
      <c r="Z109" s="11">
        <v>0</v>
      </c>
      <c r="AA109" s="11">
        <v>0</v>
      </c>
      <c r="AB109" s="11">
        <v>0</v>
      </c>
      <c r="AC109" s="11">
        <v>3925.4763414560502</v>
      </c>
      <c r="AD109" s="11">
        <v>44991.998067457804</v>
      </c>
      <c r="AE109" s="11">
        <v>301.95971857354226</v>
      </c>
      <c r="AF109" s="11">
        <v>0</v>
      </c>
      <c r="AG109" s="37">
        <f t="shared" si="77"/>
        <v>49219.434127487395</v>
      </c>
      <c r="AH109" s="29">
        <f>SUM(Z109:AF109)</f>
        <v>49219.434127487395</v>
      </c>
      <c r="AI109">
        <f>1*Z109</f>
        <v>0</v>
      </c>
      <c r="AJ109">
        <f>2*AA109</f>
        <v>0</v>
      </c>
      <c r="AK109">
        <f>3*AB109</f>
        <v>0</v>
      </c>
      <c r="AL109">
        <f>4*AC109</f>
        <v>15701.905365824201</v>
      </c>
      <c r="AM109">
        <f>5*AD109</f>
        <v>224959.99033728903</v>
      </c>
      <c r="AN109">
        <f>6*(AE109+AF109)</f>
        <v>1811.7583114412537</v>
      </c>
      <c r="AO109" s="40">
        <f>SUM(AI109:AN109)/AH109</f>
        <v>4.9263803680981599</v>
      </c>
    </row>
    <row r="110" spans="1:41" x14ac:dyDescent="0.25">
      <c r="A110" s="34" t="s">
        <v>195</v>
      </c>
      <c r="B110" s="4" t="s">
        <v>192</v>
      </c>
      <c r="C110" s="4" t="s">
        <v>362</v>
      </c>
      <c r="D110" s="14">
        <v>41219</v>
      </c>
      <c r="E110" s="14"/>
      <c r="F110" s="4">
        <f t="shared" si="74"/>
        <v>11</v>
      </c>
      <c r="G110" s="4">
        <f t="shared" si="75"/>
        <v>6</v>
      </c>
      <c r="H110" s="4">
        <f t="shared" si="76"/>
        <v>2012</v>
      </c>
      <c r="I110" s="17">
        <v>0.50347222222222221</v>
      </c>
      <c r="J110" s="4">
        <v>42.859099999999998</v>
      </c>
      <c r="K110" s="4">
        <v>-69.865700000000004</v>
      </c>
      <c r="L110" s="4" t="s">
        <v>157</v>
      </c>
      <c r="M110" s="4" t="s">
        <v>32</v>
      </c>
      <c r="N110" s="4">
        <v>200</v>
      </c>
      <c r="O110" s="4">
        <v>249</v>
      </c>
      <c r="P110" s="4">
        <v>254</v>
      </c>
      <c r="R110" s="4">
        <v>0.44156000000000001</v>
      </c>
      <c r="S110" s="4">
        <v>110</v>
      </c>
      <c r="T110" s="4">
        <v>0.5</v>
      </c>
      <c r="U110" s="6">
        <v>7.2460000000000004</v>
      </c>
      <c r="V110" s="6">
        <f>(U110/S110)*O110</f>
        <v>16.402309090909093</v>
      </c>
      <c r="X110" s="5">
        <v>41219</v>
      </c>
      <c r="AG110" s="37"/>
    </row>
    <row r="111" spans="1:41" x14ac:dyDescent="0.25">
      <c r="A111" s="34" t="s">
        <v>196</v>
      </c>
      <c r="B111" s="4" t="s">
        <v>197</v>
      </c>
      <c r="C111" s="4" t="s">
        <v>362</v>
      </c>
      <c r="D111" s="14">
        <v>41232</v>
      </c>
      <c r="E111" s="14"/>
      <c r="F111" s="4">
        <f t="shared" si="74"/>
        <v>11</v>
      </c>
      <c r="G111" s="4">
        <f t="shared" si="75"/>
        <v>19</v>
      </c>
      <c r="H111" s="4">
        <f t="shared" si="76"/>
        <v>2012</v>
      </c>
      <c r="I111" s="17">
        <v>0.47916666666666669</v>
      </c>
      <c r="J111" s="4">
        <v>42.862900000000003</v>
      </c>
      <c r="K111" s="4">
        <v>-69.53</v>
      </c>
      <c r="L111" s="4" t="s">
        <v>147</v>
      </c>
      <c r="M111" s="4" t="s">
        <v>32</v>
      </c>
      <c r="N111" s="4">
        <v>200</v>
      </c>
      <c r="O111" s="4">
        <v>250</v>
      </c>
      <c r="P111" s="4">
        <v>256</v>
      </c>
      <c r="R111" s="4">
        <v>0.44156000000000001</v>
      </c>
      <c r="S111" s="4">
        <v>110</v>
      </c>
      <c r="T111" s="4">
        <v>0.5</v>
      </c>
      <c r="X111" s="5">
        <v>41232</v>
      </c>
      <c r="AG111" s="37"/>
    </row>
    <row r="112" spans="1:41" x14ac:dyDescent="0.25">
      <c r="A112" s="34" t="s">
        <v>198</v>
      </c>
      <c r="B112" s="4" t="s">
        <v>197</v>
      </c>
      <c r="C112" s="4" t="s">
        <v>362</v>
      </c>
      <c r="D112" s="14">
        <v>41232</v>
      </c>
      <c r="F112" s="4">
        <f t="shared" si="74"/>
        <v>11</v>
      </c>
      <c r="G112" s="4">
        <f t="shared" si="75"/>
        <v>19</v>
      </c>
      <c r="H112" s="4">
        <f t="shared" si="76"/>
        <v>2012</v>
      </c>
      <c r="I112" s="17">
        <v>0.47916666666666669</v>
      </c>
      <c r="J112" s="4">
        <v>42.862900000000003</v>
      </c>
      <c r="K112" s="4">
        <v>-69.53</v>
      </c>
      <c r="L112" s="4" t="s">
        <v>149</v>
      </c>
      <c r="M112" s="4" t="s">
        <v>32</v>
      </c>
      <c r="N112" s="4">
        <v>200</v>
      </c>
      <c r="O112" s="4">
        <v>250</v>
      </c>
      <c r="P112" s="4">
        <v>256</v>
      </c>
      <c r="Q112" s="4" t="s">
        <v>199</v>
      </c>
      <c r="R112" s="4">
        <v>0.44156000000000001</v>
      </c>
      <c r="S112" s="4">
        <v>110</v>
      </c>
      <c r="T112" s="4">
        <v>0.5</v>
      </c>
      <c r="U112" s="6">
        <v>5.3339999999999996</v>
      </c>
      <c r="V112" s="6">
        <f>(U112/S112)*O112</f>
        <v>12.122727272727271</v>
      </c>
      <c r="W112" s="7">
        <v>60</v>
      </c>
      <c r="X112" s="5">
        <v>41232</v>
      </c>
      <c r="Y112" s="11">
        <v>0</v>
      </c>
      <c r="Z112" s="11">
        <v>0</v>
      </c>
      <c r="AA112" s="11">
        <v>0</v>
      </c>
      <c r="AB112" s="11">
        <v>271.76374671618811</v>
      </c>
      <c r="AC112" s="11">
        <v>543.52749343237622</v>
      </c>
      <c r="AD112" s="11">
        <v>21741.099737295044</v>
      </c>
      <c r="AE112" s="11">
        <v>0</v>
      </c>
      <c r="AF112" s="11">
        <v>0</v>
      </c>
      <c r="AG112" s="37">
        <f t="shared" si="77"/>
        <v>22556.390977443607</v>
      </c>
      <c r="AH112" s="29">
        <f t="shared" ref="AH112:AH113" si="118">SUM(Z112:AF112)</f>
        <v>22556.390977443607</v>
      </c>
      <c r="AI112">
        <f t="shared" ref="AI112:AI113" si="119">1*Z112</f>
        <v>0</v>
      </c>
      <c r="AJ112">
        <f t="shared" ref="AJ112:AJ113" si="120">2*AA112</f>
        <v>0</v>
      </c>
      <c r="AK112">
        <f t="shared" ref="AK112:AK113" si="121">3*AB112</f>
        <v>815.29124014856438</v>
      </c>
      <c r="AL112">
        <f t="shared" ref="AL112:AL113" si="122">4*AC112</f>
        <v>2174.1099737295049</v>
      </c>
      <c r="AM112">
        <f t="shared" ref="AM112:AM113" si="123">5*AD112</f>
        <v>108705.49868647521</v>
      </c>
      <c r="AN112">
        <f t="shared" ref="AN112:AN113" si="124">6*(AE112+AF112)</f>
        <v>0</v>
      </c>
      <c r="AO112" s="40">
        <f t="shared" ref="AO112:AO113" si="125">SUM(AI112:AN112)/AH112</f>
        <v>4.9518072289156629</v>
      </c>
    </row>
    <row r="113" spans="1:41" x14ac:dyDescent="0.25">
      <c r="A113" s="34" t="s">
        <v>200</v>
      </c>
      <c r="B113" s="4" t="s">
        <v>197</v>
      </c>
      <c r="C113" s="4" t="s">
        <v>362</v>
      </c>
      <c r="D113" s="14">
        <v>41232</v>
      </c>
      <c r="F113" s="4">
        <f t="shared" si="74"/>
        <v>11</v>
      </c>
      <c r="G113" s="4">
        <f t="shared" si="75"/>
        <v>19</v>
      </c>
      <c r="H113" s="4">
        <f t="shared" si="76"/>
        <v>2012</v>
      </c>
      <c r="I113" s="17">
        <v>0.47916666666666669</v>
      </c>
      <c r="J113" s="4">
        <v>42.862900000000003</v>
      </c>
      <c r="K113" s="4">
        <v>-69.53</v>
      </c>
      <c r="L113" s="4" t="s">
        <v>157</v>
      </c>
      <c r="M113" s="4" t="s">
        <v>32</v>
      </c>
      <c r="N113" s="4">
        <v>200</v>
      </c>
      <c r="O113" s="4">
        <v>250</v>
      </c>
      <c r="P113" s="4">
        <v>256</v>
      </c>
      <c r="Q113" s="4" t="s">
        <v>199</v>
      </c>
      <c r="R113" s="4">
        <v>0.44156000000000001</v>
      </c>
      <c r="S113" s="4">
        <v>110</v>
      </c>
      <c r="T113" s="4">
        <v>0.5</v>
      </c>
      <c r="U113" s="6">
        <v>7.282</v>
      </c>
      <c r="V113" s="6">
        <f>(U113/S113)*O113</f>
        <v>16.549999999999997</v>
      </c>
      <c r="W113" s="7">
        <v>53.3333333333333</v>
      </c>
      <c r="X113" s="5">
        <v>41232</v>
      </c>
      <c r="Y113" s="11">
        <v>0</v>
      </c>
      <c r="Z113" s="11">
        <v>0</v>
      </c>
      <c r="AA113" s="11">
        <v>0</v>
      </c>
      <c r="AB113" s="11">
        <v>434.82199474590089</v>
      </c>
      <c r="AC113" s="11">
        <v>1014.584654407102</v>
      </c>
      <c r="AD113" s="11">
        <v>24494.972370685751</v>
      </c>
      <c r="AE113" s="11">
        <v>434.82199474590089</v>
      </c>
      <c r="AF113" s="11">
        <v>0</v>
      </c>
      <c r="AG113" s="37">
        <f t="shared" si="77"/>
        <v>26379.201014584654</v>
      </c>
      <c r="AH113" s="29">
        <f t="shared" si="118"/>
        <v>26379.201014584654</v>
      </c>
      <c r="AI113">
        <f t="shared" si="119"/>
        <v>0</v>
      </c>
      <c r="AJ113">
        <f t="shared" si="120"/>
        <v>0</v>
      </c>
      <c r="AK113">
        <f t="shared" si="121"/>
        <v>1304.4659842377027</v>
      </c>
      <c r="AL113">
        <f t="shared" si="122"/>
        <v>4058.338617628408</v>
      </c>
      <c r="AM113">
        <f t="shared" si="123"/>
        <v>122474.86185342875</v>
      </c>
      <c r="AN113">
        <f t="shared" si="124"/>
        <v>2608.9319684754055</v>
      </c>
      <c r="AO113" s="40">
        <f t="shared" si="125"/>
        <v>4.9450549450549453</v>
      </c>
    </row>
    <row r="114" spans="1:41" x14ac:dyDescent="0.25">
      <c r="A114" s="34" t="s">
        <v>201</v>
      </c>
      <c r="B114" s="4" t="s">
        <v>202</v>
      </c>
      <c r="C114" s="4" t="s">
        <v>362</v>
      </c>
      <c r="D114" s="14">
        <v>41277</v>
      </c>
      <c r="E114" s="14"/>
      <c r="F114" s="4">
        <f t="shared" si="74"/>
        <v>1</v>
      </c>
      <c r="G114" s="4">
        <f t="shared" si="75"/>
        <v>3</v>
      </c>
      <c r="H114" s="4">
        <f t="shared" si="76"/>
        <v>2013</v>
      </c>
      <c r="I114" s="18">
        <v>0.49652777777777773</v>
      </c>
      <c r="J114" s="4">
        <v>42.860700000000001</v>
      </c>
      <c r="K114" s="4">
        <v>-69.861000000000004</v>
      </c>
      <c r="L114" s="4" t="s">
        <v>147</v>
      </c>
      <c r="M114" s="4" t="s">
        <v>32</v>
      </c>
      <c r="N114" s="4">
        <v>200</v>
      </c>
      <c r="O114" s="4">
        <v>255</v>
      </c>
      <c r="P114" s="4">
        <v>260</v>
      </c>
      <c r="R114" s="4">
        <v>0.44156000000000001</v>
      </c>
      <c r="S114" s="4">
        <v>113</v>
      </c>
      <c r="T114" s="4">
        <v>0.5</v>
      </c>
      <c r="X114" s="5">
        <v>41277</v>
      </c>
      <c r="AG114" s="37"/>
    </row>
    <row r="115" spans="1:41" x14ac:dyDescent="0.25">
      <c r="A115" s="34" t="s">
        <v>203</v>
      </c>
      <c r="B115" s="4" t="s">
        <v>202</v>
      </c>
      <c r="C115" s="4" t="s">
        <v>362</v>
      </c>
      <c r="D115" s="14">
        <v>41277</v>
      </c>
      <c r="F115" s="4">
        <f t="shared" si="74"/>
        <v>1</v>
      </c>
      <c r="G115" s="4">
        <f t="shared" si="75"/>
        <v>3</v>
      </c>
      <c r="H115" s="4">
        <f t="shared" si="76"/>
        <v>2013</v>
      </c>
      <c r="I115" s="18">
        <v>0.49652777777777773</v>
      </c>
      <c r="J115" s="4">
        <v>42.860700000000001</v>
      </c>
      <c r="K115" s="4">
        <v>-69.861000000000004</v>
      </c>
      <c r="L115" s="4" t="s">
        <v>149</v>
      </c>
      <c r="M115" s="4" t="s">
        <v>32</v>
      </c>
      <c r="N115" s="4">
        <v>200</v>
      </c>
      <c r="O115" s="4">
        <v>255</v>
      </c>
      <c r="P115" s="4">
        <v>260</v>
      </c>
      <c r="R115" s="4">
        <v>0.44156000000000001</v>
      </c>
      <c r="S115" s="4">
        <v>113</v>
      </c>
      <c r="T115" s="4">
        <v>0.5</v>
      </c>
      <c r="U115" s="6">
        <v>2.9020000000000001</v>
      </c>
      <c r="V115" s="6">
        <f>(U115/S115)*O115</f>
        <v>6.5487610619469026</v>
      </c>
      <c r="W115" s="7">
        <v>36</v>
      </c>
      <c r="X115" s="5">
        <v>41277</v>
      </c>
      <c r="Y115" s="11">
        <v>0</v>
      </c>
      <c r="Z115" s="11">
        <v>0</v>
      </c>
      <c r="AA115" s="11">
        <v>0</v>
      </c>
      <c r="AB115" s="11">
        <v>0</v>
      </c>
      <c r="AC115" s="11">
        <v>978.34948817827694</v>
      </c>
      <c r="AD115" s="11">
        <v>16142.766554941569</v>
      </c>
      <c r="AE115" s="11">
        <v>1304.4659842377025</v>
      </c>
      <c r="AF115" s="11">
        <v>1304.4659842377025</v>
      </c>
      <c r="AG115" s="37">
        <f t="shared" si="77"/>
        <v>19730.048011595252</v>
      </c>
      <c r="AH115" s="29">
        <f t="shared" ref="AH115:AH116" si="126">SUM(Z115:AF115)</f>
        <v>19730.048011595252</v>
      </c>
      <c r="AI115">
        <f t="shared" ref="AI115:AI116" si="127">1*Z115</f>
        <v>0</v>
      </c>
      <c r="AJ115">
        <f t="shared" ref="AJ115:AJ116" si="128">2*AA115</f>
        <v>0</v>
      </c>
      <c r="AK115">
        <f t="shared" ref="AK115:AK116" si="129">3*AB115</f>
        <v>0</v>
      </c>
      <c r="AL115">
        <f t="shared" ref="AL115:AL116" si="130">4*AC115</f>
        <v>3913.3979527131078</v>
      </c>
      <c r="AM115">
        <f t="shared" ref="AM115:AM116" si="131">5*AD115</f>
        <v>80713.832774707844</v>
      </c>
      <c r="AN115">
        <f t="shared" ref="AN115:AN116" si="132">6*(AE115+AF115)</f>
        <v>15653.591810852431</v>
      </c>
      <c r="AO115" s="40">
        <f t="shared" ref="AO115:AO116" si="133">SUM(AI115:AN115)/AH115</f>
        <v>5.0826446280991728</v>
      </c>
    </row>
    <row r="116" spans="1:41" x14ac:dyDescent="0.25">
      <c r="A116" s="34" t="s">
        <v>204</v>
      </c>
      <c r="B116" s="4" t="s">
        <v>202</v>
      </c>
      <c r="C116" s="4" t="s">
        <v>362</v>
      </c>
      <c r="D116" s="14">
        <v>41277</v>
      </c>
      <c r="F116" s="4">
        <f t="shared" si="74"/>
        <v>1</v>
      </c>
      <c r="G116" s="4">
        <f t="shared" si="75"/>
        <v>3</v>
      </c>
      <c r="H116" s="4">
        <f t="shared" si="76"/>
        <v>2013</v>
      </c>
      <c r="I116" s="18">
        <v>0.49652777777777773</v>
      </c>
      <c r="J116" s="4">
        <v>42.860700000000001</v>
      </c>
      <c r="K116" s="4">
        <v>-69.861000000000004</v>
      </c>
      <c r="L116" s="4" t="s">
        <v>157</v>
      </c>
      <c r="M116" s="4" t="s">
        <v>32</v>
      </c>
      <c r="N116" s="4">
        <v>200</v>
      </c>
      <c r="O116" s="4">
        <v>253</v>
      </c>
      <c r="P116" s="4">
        <v>258</v>
      </c>
      <c r="R116" s="4">
        <v>0.44156000000000001</v>
      </c>
      <c r="S116" s="4">
        <v>112</v>
      </c>
      <c r="T116" s="4">
        <v>0.5</v>
      </c>
      <c r="U116" s="6">
        <v>2.9260000000000002</v>
      </c>
      <c r="V116" s="6">
        <f>(U116/S116)*O116</f>
        <v>6.6096250000000003</v>
      </c>
      <c r="W116" s="7">
        <v>40</v>
      </c>
      <c r="X116" s="5">
        <v>41277</v>
      </c>
      <c r="Y116" s="11">
        <v>0</v>
      </c>
      <c r="Z116" s="11">
        <v>0</v>
      </c>
      <c r="AA116" s="11">
        <v>0</v>
      </c>
      <c r="AB116" s="11">
        <v>0</v>
      </c>
      <c r="AC116" s="11">
        <v>181.1758311441254</v>
      </c>
      <c r="AD116" s="11">
        <v>16668.176465259534</v>
      </c>
      <c r="AE116" s="11">
        <v>1630.5824802971285</v>
      </c>
      <c r="AF116" s="11">
        <v>905.87915572062684</v>
      </c>
      <c r="AG116" s="37">
        <f t="shared" si="77"/>
        <v>19385.813932421417</v>
      </c>
      <c r="AH116" s="29">
        <f t="shared" si="126"/>
        <v>19385.813932421417</v>
      </c>
      <c r="AI116">
        <f t="shared" si="127"/>
        <v>0</v>
      </c>
      <c r="AJ116">
        <f t="shared" si="128"/>
        <v>0</v>
      </c>
      <c r="AK116">
        <f t="shared" si="129"/>
        <v>0</v>
      </c>
      <c r="AL116">
        <f t="shared" si="130"/>
        <v>724.70332457650159</v>
      </c>
      <c r="AM116">
        <f t="shared" si="131"/>
        <v>83340.882326297666</v>
      </c>
      <c r="AN116">
        <f t="shared" si="132"/>
        <v>15218.769816106531</v>
      </c>
      <c r="AO116" s="40">
        <f t="shared" si="133"/>
        <v>5.121495327102803</v>
      </c>
    </row>
    <row r="117" spans="1:41" x14ac:dyDescent="0.25">
      <c r="A117" s="34" t="s">
        <v>205</v>
      </c>
      <c r="B117" s="4" t="s">
        <v>206</v>
      </c>
      <c r="C117" s="4" t="s">
        <v>362</v>
      </c>
      <c r="D117" s="14">
        <v>41302</v>
      </c>
      <c r="E117" s="14"/>
      <c r="F117" s="4">
        <f t="shared" si="74"/>
        <v>1</v>
      </c>
      <c r="G117" s="4">
        <f t="shared" si="75"/>
        <v>28</v>
      </c>
      <c r="H117" s="4">
        <f t="shared" si="76"/>
        <v>2013</v>
      </c>
      <c r="I117" s="18">
        <v>0.52361111111111114</v>
      </c>
      <c r="J117" s="4">
        <v>42.8613</v>
      </c>
      <c r="K117" s="4">
        <v>-69.860799999999998</v>
      </c>
      <c r="L117" s="4" t="s">
        <v>147</v>
      </c>
      <c r="M117" s="4" t="s">
        <v>32</v>
      </c>
      <c r="N117" s="4">
        <v>200</v>
      </c>
      <c r="O117" s="4">
        <v>254</v>
      </c>
      <c r="P117" s="4">
        <v>259</v>
      </c>
      <c r="R117" s="4">
        <v>0.44156000000000001</v>
      </c>
      <c r="S117" s="4">
        <v>112</v>
      </c>
      <c r="T117" s="4">
        <v>0.5</v>
      </c>
      <c r="X117" s="5">
        <v>41302</v>
      </c>
      <c r="AG117" s="37"/>
    </row>
    <row r="118" spans="1:41" x14ac:dyDescent="0.25">
      <c r="A118" s="34" t="s">
        <v>207</v>
      </c>
      <c r="B118" s="4" t="s">
        <v>206</v>
      </c>
      <c r="C118" s="4" t="s">
        <v>362</v>
      </c>
      <c r="D118" s="14">
        <v>41302</v>
      </c>
      <c r="E118" s="14"/>
      <c r="F118" s="4">
        <f t="shared" si="74"/>
        <v>1</v>
      </c>
      <c r="G118" s="4">
        <f t="shared" si="75"/>
        <v>28</v>
      </c>
      <c r="H118" s="4">
        <f t="shared" si="76"/>
        <v>2013</v>
      </c>
      <c r="I118" s="18">
        <v>0.52361111111111114</v>
      </c>
      <c r="J118" s="4">
        <v>42.8613</v>
      </c>
      <c r="K118" s="4">
        <v>-69.860799999999998</v>
      </c>
      <c r="L118" s="4" t="s">
        <v>149</v>
      </c>
      <c r="M118" s="4" t="s">
        <v>32</v>
      </c>
      <c r="N118" s="4">
        <v>200</v>
      </c>
      <c r="O118" s="4">
        <v>254</v>
      </c>
      <c r="P118" s="4">
        <v>259</v>
      </c>
      <c r="R118" s="4">
        <v>0.44156000000000001</v>
      </c>
      <c r="S118" s="4">
        <v>112</v>
      </c>
      <c r="T118" s="4">
        <v>0.5</v>
      </c>
      <c r="U118" s="6">
        <v>2.8420000000000001</v>
      </c>
      <c r="V118" s="6">
        <f t="shared" ref="V118:V126" si="134">(U118/S118)*O118</f>
        <v>6.4452500000000006</v>
      </c>
      <c r="X118" s="5">
        <v>41302</v>
      </c>
      <c r="AG118" s="37"/>
    </row>
    <row r="119" spans="1:41" x14ac:dyDescent="0.25">
      <c r="A119" s="34" t="s">
        <v>208</v>
      </c>
      <c r="B119" s="4" t="s">
        <v>206</v>
      </c>
      <c r="C119" s="4" t="s">
        <v>362</v>
      </c>
      <c r="D119" s="14">
        <v>41302</v>
      </c>
      <c r="E119" s="14"/>
      <c r="F119" s="4">
        <f t="shared" si="74"/>
        <v>1</v>
      </c>
      <c r="G119" s="4">
        <f t="shared" si="75"/>
        <v>28</v>
      </c>
      <c r="H119" s="4">
        <f t="shared" si="76"/>
        <v>2013</v>
      </c>
      <c r="I119" s="18">
        <v>0.52361111111111114</v>
      </c>
      <c r="J119" s="4">
        <v>42.8613</v>
      </c>
      <c r="K119" s="4">
        <v>-69.860799999999998</v>
      </c>
      <c r="L119" s="4" t="s">
        <v>162</v>
      </c>
      <c r="M119" s="4" t="s">
        <v>32</v>
      </c>
      <c r="N119" s="4">
        <v>200</v>
      </c>
      <c r="O119" s="4">
        <v>253</v>
      </c>
      <c r="P119" s="4">
        <v>258</v>
      </c>
      <c r="R119" s="4">
        <v>0.44156000000000001</v>
      </c>
      <c r="S119" s="4">
        <v>112</v>
      </c>
      <c r="T119" s="4">
        <v>0.5</v>
      </c>
      <c r="U119" s="6">
        <v>0.17600000000000199</v>
      </c>
      <c r="V119" s="6">
        <f t="shared" si="134"/>
        <v>0.39757142857143307</v>
      </c>
      <c r="X119" s="5">
        <v>41302</v>
      </c>
      <c r="AG119" s="37"/>
    </row>
    <row r="120" spans="1:41" x14ac:dyDescent="0.25">
      <c r="A120" s="34" t="s">
        <v>209</v>
      </c>
      <c r="B120" s="4" t="s">
        <v>206</v>
      </c>
      <c r="C120" s="4" t="s">
        <v>362</v>
      </c>
      <c r="D120" s="14">
        <v>41302</v>
      </c>
      <c r="F120" s="4">
        <f t="shared" si="74"/>
        <v>1</v>
      </c>
      <c r="G120" s="4">
        <f t="shared" si="75"/>
        <v>28</v>
      </c>
      <c r="H120" s="4">
        <f t="shared" si="76"/>
        <v>2013</v>
      </c>
      <c r="I120" s="18">
        <v>0.52361111111111114</v>
      </c>
      <c r="J120" s="4">
        <v>42.8613</v>
      </c>
      <c r="K120" s="4">
        <v>-69.860799999999998</v>
      </c>
      <c r="L120" s="4" t="s">
        <v>157</v>
      </c>
      <c r="M120" s="4" t="s">
        <v>32</v>
      </c>
      <c r="N120" s="4">
        <v>200</v>
      </c>
      <c r="O120" s="4">
        <v>253</v>
      </c>
      <c r="P120" s="4">
        <v>258</v>
      </c>
      <c r="R120" s="4">
        <v>0.44156000000000001</v>
      </c>
      <c r="S120" s="4">
        <v>112</v>
      </c>
      <c r="T120" s="4">
        <v>0.5</v>
      </c>
      <c r="U120" s="6">
        <v>3.036</v>
      </c>
      <c r="V120" s="6">
        <f t="shared" si="134"/>
        <v>6.8581071428571425</v>
      </c>
      <c r="W120" s="7">
        <v>22.5</v>
      </c>
      <c r="X120" s="5">
        <v>41302</v>
      </c>
      <c r="Y120" s="11">
        <v>203.82281003714107</v>
      </c>
      <c r="Z120" s="11">
        <v>0</v>
      </c>
      <c r="AA120" s="11">
        <v>101.91140501857053</v>
      </c>
      <c r="AB120" s="11">
        <v>101.91140501857053</v>
      </c>
      <c r="AC120" s="11">
        <v>305.73421505571156</v>
      </c>
      <c r="AD120" s="11">
        <v>4178.3676057613911</v>
      </c>
      <c r="AE120" s="11">
        <v>917.20264516713473</v>
      </c>
      <c r="AF120" s="11">
        <v>407.64562007428214</v>
      </c>
      <c r="AG120" s="37">
        <f t="shared" si="77"/>
        <v>5910.8614910770902</v>
      </c>
      <c r="AH120" s="29">
        <f t="shared" ref="AH120:AH121" si="135">SUM(Z120:AF120)</f>
        <v>6012.7728960956611</v>
      </c>
      <c r="AI120">
        <f t="shared" ref="AI120:AI121" si="136">1*Z120</f>
        <v>0</v>
      </c>
      <c r="AJ120">
        <f t="shared" ref="AJ120:AJ121" si="137">2*AA120</f>
        <v>203.82281003714107</v>
      </c>
      <c r="AK120">
        <f t="shared" ref="AK120:AK121" si="138">3*AB120</f>
        <v>305.73421505571162</v>
      </c>
      <c r="AL120">
        <f t="shared" ref="AL120:AL121" si="139">4*AC120</f>
        <v>1222.9368602228462</v>
      </c>
      <c r="AM120">
        <f t="shared" ref="AM120:AM121" si="140">5*AD120</f>
        <v>20891.838028806957</v>
      </c>
      <c r="AN120">
        <f t="shared" ref="AN120:AN121" si="141">6*(AE120+AF120)</f>
        <v>7949.0895914485009</v>
      </c>
      <c r="AO120" s="40">
        <f t="shared" ref="AO120:AO121" si="142">SUM(AI120:AN120)/AH120</f>
        <v>5.0847457627118642</v>
      </c>
    </row>
    <row r="121" spans="1:41" x14ac:dyDescent="0.25">
      <c r="A121" s="34" t="s">
        <v>210</v>
      </c>
      <c r="B121" s="4" t="s">
        <v>211</v>
      </c>
      <c r="C121" s="4" t="s">
        <v>362</v>
      </c>
      <c r="D121" s="14">
        <v>41351</v>
      </c>
      <c r="F121" s="4">
        <f t="shared" si="74"/>
        <v>3</v>
      </c>
      <c r="G121" s="4">
        <f t="shared" si="75"/>
        <v>18</v>
      </c>
      <c r="H121" s="4">
        <f t="shared" si="76"/>
        <v>2013</v>
      </c>
      <c r="I121" s="17">
        <v>0.52847222222222223</v>
      </c>
      <c r="J121" s="4">
        <v>42.861199999999997</v>
      </c>
      <c r="K121" s="4">
        <v>-69.867099999999994</v>
      </c>
      <c r="L121" s="4" t="s">
        <v>147</v>
      </c>
      <c r="M121" s="4" t="s">
        <v>32</v>
      </c>
      <c r="N121" s="4">
        <v>200</v>
      </c>
      <c r="O121" s="4">
        <v>248</v>
      </c>
      <c r="P121" s="4">
        <v>253</v>
      </c>
      <c r="R121" s="4">
        <v>0.44156000000000001</v>
      </c>
      <c r="S121" s="4">
        <v>110</v>
      </c>
      <c r="T121" s="4">
        <v>0.5</v>
      </c>
      <c r="U121" s="6">
        <v>0.94799999999999995</v>
      </c>
      <c r="V121" s="6">
        <f t="shared" si="134"/>
        <v>2.137309090909091</v>
      </c>
      <c r="W121" s="7">
        <v>60</v>
      </c>
      <c r="X121" s="5">
        <v>41351</v>
      </c>
      <c r="Y121" s="11">
        <v>1087.0549868647522</v>
      </c>
      <c r="Z121" s="11">
        <v>3532.9287073104447</v>
      </c>
      <c r="AA121" s="11">
        <v>815.29124014856416</v>
      </c>
      <c r="AB121" s="11">
        <v>1358.8187335809403</v>
      </c>
      <c r="AC121" s="11">
        <v>543.5274934323761</v>
      </c>
      <c r="AD121" s="11">
        <v>543.5274934323761</v>
      </c>
      <c r="AE121" s="11">
        <v>1630.5824802971283</v>
      </c>
      <c r="AF121" s="11">
        <v>0</v>
      </c>
      <c r="AG121" s="37">
        <f t="shared" si="77"/>
        <v>4076.4562007428208</v>
      </c>
      <c r="AH121" s="29">
        <f t="shared" si="135"/>
        <v>8424.6761482018301</v>
      </c>
      <c r="AI121">
        <f t="shared" si="136"/>
        <v>3532.9287073104447</v>
      </c>
      <c r="AJ121">
        <f t="shared" si="137"/>
        <v>1630.5824802971283</v>
      </c>
      <c r="AK121">
        <f t="shared" si="138"/>
        <v>4076.4562007428208</v>
      </c>
      <c r="AL121">
        <f t="shared" si="139"/>
        <v>2174.1099737295044</v>
      </c>
      <c r="AM121">
        <f t="shared" si="140"/>
        <v>2717.6374671618805</v>
      </c>
      <c r="AN121">
        <f t="shared" si="141"/>
        <v>9783.4948817827699</v>
      </c>
      <c r="AO121" s="40">
        <f t="shared" si="142"/>
        <v>2.838709677419355</v>
      </c>
    </row>
    <row r="122" spans="1:41" x14ac:dyDescent="0.25">
      <c r="A122" s="34" t="s">
        <v>212</v>
      </c>
      <c r="B122" s="4" t="s">
        <v>211</v>
      </c>
      <c r="C122" s="4" t="s">
        <v>362</v>
      </c>
      <c r="D122" s="14">
        <v>41351</v>
      </c>
      <c r="E122" s="14"/>
      <c r="F122" s="4">
        <f t="shared" si="74"/>
        <v>3</v>
      </c>
      <c r="G122" s="4">
        <f t="shared" si="75"/>
        <v>18</v>
      </c>
      <c r="H122" s="4">
        <f t="shared" si="76"/>
        <v>2013</v>
      </c>
      <c r="I122" s="17">
        <v>0.57013888888888897</v>
      </c>
      <c r="J122" s="4">
        <v>42.861199999999997</v>
      </c>
      <c r="K122" s="4">
        <v>-69.867099999999994</v>
      </c>
      <c r="L122" s="4" t="s">
        <v>149</v>
      </c>
      <c r="M122" s="4" t="s">
        <v>32</v>
      </c>
      <c r="N122" s="4">
        <v>200</v>
      </c>
      <c r="O122" s="4">
        <v>248</v>
      </c>
      <c r="P122" s="4">
        <v>253</v>
      </c>
      <c r="R122" s="4">
        <v>0.44156000000000001</v>
      </c>
      <c r="S122" s="4">
        <v>110</v>
      </c>
      <c r="T122" s="4">
        <v>0.5</v>
      </c>
      <c r="U122" s="6">
        <v>0.93399999999999805</v>
      </c>
      <c r="V122" s="6">
        <f t="shared" si="134"/>
        <v>2.1057454545454504</v>
      </c>
      <c r="X122" s="5">
        <v>41351</v>
      </c>
      <c r="AG122" s="37"/>
    </row>
    <row r="123" spans="1:41" x14ac:dyDescent="0.25">
      <c r="A123" s="34" t="s">
        <v>213</v>
      </c>
      <c r="B123" s="4" t="s">
        <v>211</v>
      </c>
      <c r="C123" s="4" t="s">
        <v>362</v>
      </c>
      <c r="D123" s="14">
        <v>41351</v>
      </c>
      <c r="F123" s="4">
        <f t="shared" si="74"/>
        <v>3</v>
      </c>
      <c r="G123" s="4">
        <f t="shared" si="75"/>
        <v>18</v>
      </c>
      <c r="H123" s="4">
        <f t="shared" si="76"/>
        <v>2013</v>
      </c>
      <c r="I123" s="17">
        <v>0.65347222222222201</v>
      </c>
      <c r="J123" s="4">
        <v>42.861199999999997</v>
      </c>
      <c r="K123" s="4">
        <v>-69.867099999999994</v>
      </c>
      <c r="L123" s="4" t="s">
        <v>157</v>
      </c>
      <c r="M123" s="4" t="s">
        <v>32</v>
      </c>
      <c r="N123" s="4">
        <v>200</v>
      </c>
      <c r="O123" s="4">
        <v>249</v>
      </c>
      <c r="P123" s="4">
        <v>254</v>
      </c>
      <c r="R123" s="4">
        <v>0.44156000000000001</v>
      </c>
      <c r="S123" s="4">
        <v>110</v>
      </c>
      <c r="T123" s="4">
        <v>0.5</v>
      </c>
      <c r="U123" s="6">
        <v>0.63599999999999601</v>
      </c>
      <c r="V123" s="6">
        <f t="shared" si="134"/>
        <v>1.4396727272727183</v>
      </c>
      <c r="W123" s="7">
        <v>35</v>
      </c>
      <c r="X123" s="5">
        <v>41351</v>
      </c>
      <c r="Y123" s="11">
        <v>1426.7596702599874</v>
      </c>
      <c r="Z123" s="11">
        <v>6341.1540900443879</v>
      </c>
      <c r="AA123" s="11">
        <v>1585.288522511097</v>
      </c>
      <c r="AB123" s="11">
        <v>792.64426125554849</v>
      </c>
      <c r="AC123" s="11">
        <v>0</v>
      </c>
      <c r="AD123" s="11">
        <v>158.52885225110967</v>
      </c>
      <c r="AE123" s="11">
        <v>1109.7019657577678</v>
      </c>
      <c r="AF123" s="11">
        <v>0</v>
      </c>
      <c r="AG123" s="37">
        <f t="shared" si="77"/>
        <v>2060.8750792644259</v>
      </c>
      <c r="AH123" s="29">
        <f t="shared" ref="AH123:AH124" si="143">SUM(Z123:AF123)</f>
        <v>9987.3176918199097</v>
      </c>
      <c r="AI123">
        <f t="shared" ref="AI123:AI124" si="144">1*Z123</f>
        <v>6341.1540900443879</v>
      </c>
      <c r="AJ123">
        <f t="shared" ref="AJ123:AJ124" si="145">2*AA123</f>
        <v>3170.5770450221939</v>
      </c>
      <c r="AK123">
        <f t="shared" ref="AK123:AK124" si="146">3*AB123</f>
        <v>2377.9327837666456</v>
      </c>
      <c r="AL123">
        <f t="shared" ref="AL123:AL124" si="147">4*AC123</f>
        <v>0</v>
      </c>
      <c r="AM123">
        <f t="shared" ref="AM123:AM124" si="148">5*AD123</f>
        <v>792.64426125554837</v>
      </c>
      <c r="AN123">
        <f t="shared" ref="AN123:AN124" si="149">6*(AE123+AF123)</f>
        <v>6658.2117945466071</v>
      </c>
      <c r="AO123" s="40">
        <f t="shared" ref="AO123:AO124" si="150">SUM(AI123:AN123)/AH123</f>
        <v>1.9365079365079367</v>
      </c>
    </row>
    <row r="124" spans="1:41" x14ac:dyDescent="0.25">
      <c r="A124" s="34" t="s">
        <v>214</v>
      </c>
      <c r="B124" s="4" t="s">
        <v>215</v>
      </c>
      <c r="C124" s="4" t="s">
        <v>362</v>
      </c>
      <c r="D124" s="14">
        <v>41379</v>
      </c>
      <c r="F124" s="4">
        <f t="shared" si="74"/>
        <v>4</v>
      </c>
      <c r="G124" s="4">
        <f t="shared" si="75"/>
        <v>15</v>
      </c>
      <c r="H124" s="4">
        <f t="shared" si="76"/>
        <v>2013</v>
      </c>
      <c r="I124" s="17">
        <v>0.54166666666666663</v>
      </c>
      <c r="J124" s="4">
        <v>42.861800000000002</v>
      </c>
      <c r="K124" s="4">
        <v>-69.849400000000003</v>
      </c>
      <c r="L124" s="4" t="s">
        <v>147</v>
      </c>
      <c r="M124" s="4" t="s">
        <v>32</v>
      </c>
      <c r="N124" s="4">
        <v>200</v>
      </c>
      <c r="O124" s="4">
        <v>256</v>
      </c>
      <c r="P124" s="4">
        <v>261</v>
      </c>
      <c r="R124" s="4">
        <v>0.44156000000000001</v>
      </c>
      <c r="S124" s="4">
        <v>113</v>
      </c>
      <c r="T124" s="4">
        <v>0.5</v>
      </c>
      <c r="U124" s="6">
        <v>3.4279999999999999</v>
      </c>
      <c r="V124" s="6">
        <f t="shared" si="134"/>
        <v>7.7660884955752207</v>
      </c>
      <c r="W124" s="7">
        <v>90</v>
      </c>
      <c r="X124" s="5">
        <v>41379</v>
      </c>
      <c r="Y124" s="11">
        <v>15082.887942748437</v>
      </c>
      <c r="Z124" s="11">
        <v>26904.610924902616</v>
      </c>
      <c r="AA124" s="11">
        <v>24866.382824531207</v>
      </c>
      <c r="AB124" s="11">
        <v>15898.179182897002</v>
      </c>
      <c r="AC124" s="11">
        <v>10598.786121931334</v>
      </c>
      <c r="AD124" s="11">
        <v>8152.9124014856416</v>
      </c>
      <c r="AE124" s="11">
        <v>2445.8737204456925</v>
      </c>
      <c r="AF124" s="11">
        <v>815.29124014856416</v>
      </c>
      <c r="AG124" s="37">
        <f t="shared" si="77"/>
        <v>37911.042666908237</v>
      </c>
      <c r="AH124" s="29">
        <f t="shared" si="143"/>
        <v>89682.03641634206</v>
      </c>
      <c r="AI124">
        <f t="shared" si="144"/>
        <v>26904.610924902616</v>
      </c>
      <c r="AJ124">
        <f t="shared" si="145"/>
        <v>49732.765649062414</v>
      </c>
      <c r="AK124">
        <f t="shared" si="146"/>
        <v>47694.537548691005</v>
      </c>
      <c r="AL124">
        <f t="shared" si="147"/>
        <v>42395.144487725338</v>
      </c>
      <c r="AM124">
        <f t="shared" si="148"/>
        <v>40764.562007428205</v>
      </c>
      <c r="AN124">
        <f t="shared" si="149"/>
        <v>19566.98976356554</v>
      </c>
      <c r="AO124" s="40">
        <f t="shared" si="150"/>
        <v>2.5318181818181817</v>
      </c>
    </row>
    <row r="125" spans="1:41" x14ac:dyDescent="0.25">
      <c r="A125" s="34" t="s">
        <v>216</v>
      </c>
      <c r="B125" s="4" t="s">
        <v>215</v>
      </c>
      <c r="C125" s="4" t="s">
        <v>362</v>
      </c>
      <c r="D125" s="14">
        <v>41379</v>
      </c>
      <c r="E125" s="14"/>
      <c r="F125" s="4">
        <f t="shared" si="74"/>
        <v>4</v>
      </c>
      <c r="G125" s="4">
        <f t="shared" si="75"/>
        <v>15</v>
      </c>
      <c r="H125" s="4">
        <f t="shared" si="76"/>
        <v>2013</v>
      </c>
      <c r="I125" s="17">
        <v>0.54166666666666663</v>
      </c>
      <c r="J125" s="4">
        <v>42.861800000000002</v>
      </c>
      <c r="K125" s="4">
        <v>-69.849400000000003</v>
      </c>
      <c r="L125" s="4" t="s">
        <v>149</v>
      </c>
      <c r="M125" s="4" t="s">
        <v>32</v>
      </c>
      <c r="N125" s="4">
        <v>200</v>
      </c>
      <c r="O125" s="4">
        <v>256</v>
      </c>
      <c r="P125" s="4">
        <v>261</v>
      </c>
      <c r="R125" s="4">
        <v>0.44156000000000001</v>
      </c>
      <c r="S125" s="4">
        <v>113</v>
      </c>
      <c r="T125" s="4">
        <v>0.5</v>
      </c>
      <c r="U125" s="6">
        <v>3.476</v>
      </c>
      <c r="V125" s="6">
        <f t="shared" si="134"/>
        <v>7.87483185840708</v>
      </c>
      <c r="X125" s="5">
        <v>41379</v>
      </c>
      <c r="AG125" s="37"/>
    </row>
    <row r="126" spans="1:41" x14ac:dyDescent="0.25">
      <c r="A126" s="34" t="s">
        <v>217</v>
      </c>
      <c r="B126" s="4" t="s">
        <v>215</v>
      </c>
      <c r="C126" s="4" t="s">
        <v>362</v>
      </c>
      <c r="D126" s="14">
        <v>41379</v>
      </c>
      <c r="F126" s="4">
        <f t="shared" si="74"/>
        <v>4</v>
      </c>
      <c r="G126" s="4">
        <f t="shared" si="75"/>
        <v>15</v>
      </c>
      <c r="H126" s="4">
        <f t="shared" si="76"/>
        <v>2013</v>
      </c>
      <c r="I126" s="17">
        <v>0.5625</v>
      </c>
      <c r="J126" s="4">
        <v>42.861800000000002</v>
      </c>
      <c r="K126" s="4">
        <v>-69.849400000000003</v>
      </c>
      <c r="L126" s="4" t="s">
        <v>162</v>
      </c>
      <c r="M126" s="4" t="s">
        <v>32</v>
      </c>
      <c r="N126" s="4">
        <v>200</v>
      </c>
      <c r="O126" s="4">
        <v>259</v>
      </c>
      <c r="P126" s="4">
        <v>264</v>
      </c>
      <c r="R126" s="4">
        <v>0.44156000000000001</v>
      </c>
      <c r="S126" s="4">
        <v>114</v>
      </c>
      <c r="T126" s="4">
        <v>0.5</v>
      </c>
      <c r="U126" s="6">
        <v>4.3319999999999999</v>
      </c>
      <c r="V126" s="6">
        <f t="shared" si="134"/>
        <v>9.8420000000000005</v>
      </c>
      <c r="W126" s="7">
        <v>200</v>
      </c>
      <c r="X126" s="5">
        <v>41379</v>
      </c>
      <c r="Y126" s="11">
        <v>19929.341425853789</v>
      </c>
      <c r="Z126" s="11">
        <v>31705.770450221942</v>
      </c>
      <c r="AA126" s="11">
        <v>37141.045384545701</v>
      </c>
      <c r="AB126" s="11">
        <v>24458.737204456927</v>
      </c>
      <c r="AC126" s="11">
        <v>21741.099737295044</v>
      </c>
      <c r="AD126" s="11">
        <v>12682.308180088776</v>
      </c>
      <c r="AE126" s="11">
        <v>2717.6374671618805</v>
      </c>
      <c r="AF126" s="11">
        <v>0</v>
      </c>
      <c r="AG126" s="37">
        <f t="shared" si="77"/>
        <v>61599.782589002629</v>
      </c>
      <c r="AH126" s="29">
        <f>SUM(Z126:AF126)</f>
        <v>130446.59842377028</v>
      </c>
      <c r="AI126">
        <f>1*Z126</f>
        <v>31705.770450221942</v>
      </c>
      <c r="AJ126">
        <f>2*AA126</f>
        <v>74282.090769091403</v>
      </c>
      <c r="AK126">
        <f>3*AB126</f>
        <v>73376.211613370775</v>
      </c>
      <c r="AL126">
        <f>4*AC126</f>
        <v>86964.398949180177</v>
      </c>
      <c r="AM126">
        <f>5*AD126</f>
        <v>63411.540900443877</v>
      </c>
      <c r="AN126">
        <f>6*(AE126+AF126)</f>
        <v>16305.824802971283</v>
      </c>
      <c r="AO126" s="40">
        <f>SUM(AI126:AN126)/AH126</f>
        <v>2.6527777777777772</v>
      </c>
    </row>
    <row r="127" spans="1:41" x14ac:dyDescent="0.25">
      <c r="A127" s="34" t="s">
        <v>218</v>
      </c>
      <c r="B127" s="4" t="s">
        <v>215</v>
      </c>
      <c r="C127" s="4" t="s">
        <v>362</v>
      </c>
      <c r="D127" s="14">
        <v>41379</v>
      </c>
      <c r="E127" s="14"/>
      <c r="F127" s="4">
        <f t="shared" si="74"/>
        <v>4</v>
      </c>
      <c r="G127" s="4">
        <f t="shared" si="75"/>
        <v>15</v>
      </c>
      <c r="H127" s="4">
        <f t="shared" si="76"/>
        <v>2013</v>
      </c>
      <c r="I127" s="17">
        <v>0.5625</v>
      </c>
      <c r="J127" s="4">
        <v>42.861800000000002</v>
      </c>
      <c r="K127" s="4">
        <v>-69.849400000000003</v>
      </c>
      <c r="L127" s="4" t="s">
        <v>157</v>
      </c>
      <c r="M127" s="4" t="s">
        <v>32</v>
      </c>
      <c r="N127" s="4">
        <v>200</v>
      </c>
      <c r="O127" s="4">
        <v>259</v>
      </c>
      <c r="P127" s="4">
        <v>264</v>
      </c>
      <c r="R127" s="4">
        <v>0.44156000000000001</v>
      </c>
      <c r="S127" s="4">
        <v>114</v>
      </c>
      <c r="T127" s="4">
        <v>0.5</v>
      </c>
      <c r="X127" s="5">
        <v>41379</v>
      </c>
      <c r="AG127" s="37"/>
    </row>
    <row r="128" spans="1:41" x14ac:dyDescent="0.25">
      <c r="A128" s="34" t="s">
        <v>219</v>
      </c>
      <c r="B128" s="4" t="s">
        <v>220</v>
      </c>
      <c r="C128" s="4" t="s">
        <v>362</v>
      </c>
      <c r="D128" s="14">
        <v>41415</v>
      </c>
      <c r="E128" s="14"/>
      <c r="F128" s="4">
        <f t="shared" si="74"/>
        <v>5</v>
      </c>
      <c r="G128" s="4">
        <f t="shared" si="75"/>
        <v>21</v>
      </c>
      <c r="H128" s="4">
        <f t="shared" si="76"/>
        <v>2013</v>
      </c>
      <c r="I128" s="10"/>
      <c r="J128" s="4">
        <v>42.861800000000002</v>
      </c>
      <c r="K128" s="4">
        <v>-69.849400000000003</v>
      </c>
      <c r="L128" s="4" t="s">
        <v>147</v>
      </c>
      <c r="M128" s="4" t="s">
        <v>32</v>
      </c>
      <c r="N128" s="4">
        <v>200</v>
      </c>
      <c r="O128" s="4">
        <v>248</v>
      </c>
      <c r="P128" s="4">
        <v>253</v>
      </c>
      <c r="R128" s="4">
        <v>0.44156000000000001</v>
      </c>
      <c r="S128" s="4">
        <v>110</v>
      </c>
      <c r="T128" s="4">
        <v>0.5</v>
      </c>
      <c r="X128" s="5">
        <v>41415</v>
      </c>
      <c r="AG128" s="37"/>
    </row>
    <row r="129" spans="1:41" x14ac:dyDescent="0.25">
      <c r="A129" s="34" t="s">
        <v>221</v>
      </c>
      <c r="B129" s="4" t="s">
        <v>220</v>
      </c>
      <c r="C129" s="4" t="s">
        <v>362</v>
      </c>
      <c r="D129" s="14">
        <v>41415</v>
      </c>
      <c r="F129" s="4">
        <f t="shared" si="74"/>
        <v>5</v>
      </c>
      <c r="G129" s="4">
        <f t="shared" si="75"/>
        <v>21</v>
      </c>
      <c r="H129" s="4">
        <f t="shared" si="76"/>
        <v>2013</v>
      </c>
      <c r="I129" s="10"/>
      <c r="J129" s="4">
        <v>42.861800000000002</v>
      </c>
      <c r="K129" s="4">
        <v>-69.849400000000003</v>
      </c>
      <c r="L129" s="4" t="s">
        <v>149</v>
      </c>
      <c r="M129" s="4" t="s">
        <v>32</v>
      </c>
      <c r="N129" s="4">
        <v>200</v>
      </c>
      <c r="O129" s="4">
        <v>248</v>
      </c>
      <c r="P129" s="4">
        <v>253</v>
      </c>
      <c r="R129" s="4">
        <v>0.44156000000000001</v>
      </c>
      <c r="S129" s="4">
        <v>110</v>
      </c>
      <c r="T129" s="4">
        <v>0.5</v>
      </c>
      <c r="U129" s="6">
        <v>9.8019999999999996</v>
      </c>
      <c r="V129" s="6">
        <f>(U129/S129)*O129</f>
        <v>22.099054545454543</v>
      </c>
      <c r="W129" s="7">
        <v>360</v>
      </c>
      <c r="X129" s="5">
        <v>41415</v>
      </c>
      <c r="Y129" s="11">
        <v>1630.5824802971283</v>
      </c>
      <c r="Z129" s="11">
        <v>6522.3299211885133</v>
      </c>
      <c r="AA129" s="11">
        <v>52178.639369508106</v>
      </c>
      <c r="AB129" s="11">
        <v>107618.44369961048</v>
      </c>
      <c r="AC129" s="11">
        <v>89682.03641634206</v>
      </c>
      <c r="AD129" s="11">
        <v>61962.134251290881</v>
      </c>
      <c r="AE129" s="11">
        <v>6522.3299211885133</v>
      </c>
      <c r="AF129" s="11">
        <v>4891.7474408913849</v>
      </c>
      <c r="AG129" s="37">
        <f t="shared" si="77"/>
        <v>270676.69172932336</v>
      </c>
      <c r="AH129" s="29">
        <f t="shared" ref="AH129:AH130" si="151">SUM(Z129:AF129)</f>
        <v>329377.66102001996</v>
      </c>
      <c r="AI129">
        <f t="shared" ref="AI129:AI130" si="152">1*Z129</f>
        <v>6522.3299211885133</v>
      </c>
      <c r="AJ129">
        <f t="shared" ref="AJ129:AJ130" si="153">2*AA129</f>
        <v>104357.27873901621</v>
      </c>
      <c r="AK129">
        <f t="shared" ref="AK129:AK130" si="154">3*AB129</f>
        <v>322855.33109883143</v>
      </c>
      <c r="AL129">
        <f t="shared" ref="AL129:AL130" si="155">4*AC129</f>
        <v>358728.14566536824</v>
      </c>
      <c r="AM129">
        <f t="shared" ref="AM129:AM130" si="156">5*AD129</f>
        <v>309810.67125645443</v>
      </c>
      <c r="AN129">
        <f t="shared" ref="AN129:AN130" si="157">6*(AE129+AF129)</f>
        <v>68484.464172479376</v>
      </c>
      <c r="AO129" s="40">
        <f t="shared" ref="AO129:AO130" si="158">SUM(AI129:AN129)/AH129</f>
        <v>3.5544554455445545</v>
      </c>
    </row>
    <row r="130" spans="1:41" x14ac:dyDescent="0.25">
      <c r="A130" s="34" t="s">
        <v>222</v>
      </c>
      <c r="B130" s="4" t="s">
        <v>220</v>
      </c>
      <c r="C130" s="4" t="s">
        <v>362</v>
      </c>
      <c r="D130" s="14">
        <v>41415</v>
      </c>
      <c r="F130" s="4">
        <f t="shared" si="74"/>
        <v>5</v>
      </c>
      <c r="G130" s="4">
        <f t="shared" si="75"/>
        <v>21</v>
      </c>
      <c r="H130" s="4">
        <f t="shared" si="76"/>
        <v>2013</v>
      </c>
      <c r="I130" s="10"/>
      <c r="J130" s="4">
        <v>42.861800000000002</v>
      </c>
      <c r="K130" s="4">
        <v>-69.849400000000003</v>
      </c>
      <c r="L130" s="4" t="s">
        <v>162</v>
      </c>
      <c r="M130" s="4" t="s">
        <v>32</v>
      </c>
      <c r="N130" s="4">
        <v>200</v>
      </c>
      <c r="O130" s="4">
        <v>247</v>
      </c>
      <c r="P130" s="4">
        <v>252</v>
      </c>
      <c r="R130" s="4">
        <v>0.44156000000000001</v>
      </c>
      <c r="S130" s="4">
        <v>109</v>
      </c>
      <c r="T130" s="4">
        <v>0.5</v>
      </c>
      <c r="U130" s="6">
        <v>8.02</v>
      </c>
      <c r="V130" s="6">
        <f>(U130/S130)*O130</f>
        <v>18.173761467889907</v>
      </c>
      <c r="W130" s="7">
        <v>400</v>
      </c>
      <c r="X130" s="5">
        <v>41415</v>
      </c>
      <c r="Y130" s="11">
        <v>3623.5166228825074</v>
      </c>
      <c r="Z130" s="11">
        <v>10870.549868647522</v>
      </c>
      <c r="AA130" s="11">
        <v>54352.749343237614</v>
      </c>
      <c r="AB130" s="11">
        <v>88776.157260621432</v>
      </c>
      <c r="AC130" s="11">
        <v>85152.640637738921</v>
      </c>
      <c r="AD130" s="11">
        <v>45293.957786031344</v>
      </c>
      <c r="AE130" s="11">
        <v>7247.0332457650147</v>
      </c>
      <c r="AF130" s="11">
        <v>3623.5166228825074</v>
      </c>
      <c r="AG130" s="37">
        <f t="shared" si="77"/>
        <v>230093.30555303924</v>
      </c>
      <c r="AH130" s="29">
        <f t="shared" si="151"/>
        <v>295316.60476492438</v>
      </c>
      <c r="AI130">
        <f t="shared" si="152"/>
        <v>10870.549868647522</v>
      </c>
      <c r="AJ130">
        <f t="shared" si="153"/>
        <v>108705.49868647523</v>
      </c>
      <c r="AK130">
        <f t="shared" si="154"/>
        <v>266328.4717818643</v>
      </c>
      <c r="AL130">
        <f t="shared" si="155"/>
        <v>340610.56255095568</v>
      </c>
      <c r="AM130">
        <f t="shared" si="156"/>
        <v>226469.78893015673</v>
      </c>
      <c r="AN130">
        <f t="shared" si="157"/>
        <v>65223.299211885133</v>
      </c>
      <c r="AO130" s="40">
        <f t="shared" si="158"/>
        <v>3.4478527607361955</v>
      </c>
    </row>
    <row r="131" spans="1:41" x14ac:dyDescent="0.25">
      <c r="A131" s="34" t="s">
        <v>223</v>
      </c>
      <c r="B131" s="4" t="s">
        <v>220</v>
      </c>
      <c r="C131" s="4" t="s">
        <v>362</v>
      </c>
      <c r="D131" s="14">
        <v>41415</v>
      </c>
      <c r="E131" s="14"/>
      <c r="F131" s="4">
        <f t="shared" si="74"/>
        <v>5</v>
      </c>
      <c r="G131" s="4">
        <f t="shared" si="75"/>
        <v>21</v>
      </c>
      <c r="H131" s="4">
        <f t="shared" si="76"/>
        <v>2013</v>
      </c>
      <c r="I131" s="10"/>
      <c r="J131" s="4">
        <v>42.861800000000002</v>
      </c>
      <c r="K131" s="4">
        <v>-69.849400000000003</v>
      </c>
      <c r="L131" s="4" t="s">
        <v>157</v>
      </c>
      <c r="M131" s="4" t="s">
        <v>32</v>
      </c>
      <c r="N131" s="4">
        <v>200</v>
      </c>
      <c r="O131" s="4">
        <v>247</v>
      </c>
      <c r="P131" s="4">
        <v>252</v>
      </c>
      <c r="R131" s="4">
        <v>0.44156000000000001</v>
      </c>
      <c r="S131" s="4">
        <v>109</v>
      </c>
      <c r="T131" s="4">
        <v>0.5</v>
      </c>
      <c r="U131" s="6">
        <v>8.51</v>
      </c>
      <c r="V131" s="6">
        <f>(U131/S131)*O131</f>
        <v>19.28412844036697</v>
      </c>
      <c r="X131" s="5">
        <v>41415</v>
      </c>
      <c r="AG131" s="37"/>
    </row>
    <row r="132" spans="1:41" x14ac:dyDescent="0.25">
      <c r="A132" s="34" t="s">
        <v>224</v>
      </c>
      <c r="B132" s="4" t="s">
        <v>225</v>
      </c>
      <c r="C132" s="4" t="s">
        <v>362</v>
      </c>
      <c r="D132" s="14">
        <v>41682</v>
      </c>
      <c r="F132" s="4">
        <f t="shared" si="74"/>
        <v>2</v>
      </c>
      <c r="G132" s="4">
        <f t="shared" si="75"/>
        <v>12</v>
      </c>
      <c r="H132" s="4">
        <f t="shared" si="76"/>
        <v>2014</v>
      </c>
      <c r="I132" s="17">
        <v>0.5625</v>
      </c>
      <c r="J132" s="4">
        <v>42.858800000000002</v>
      </c>
      <c r="K132" s="4">
        <v>-69.863600000000005</v>
      </c>
      <c r="L132" s="4" t="s">
        <v>152</v>
      </c>
      <c r="M132" s="4" t="s">
        <v>32</v>
      </c>
      <c r="N132" s="4">
        <v>200</v>
      </c>
      <c r="O132" s="4">
        <v>250</v>
      </c>
      <c r="P132" s="4">
        <v>258</v>
      </c>
      <c r="R132" s="4">
        <v>0.44156000000000001</v>
      </c>
      <c r="S132" s="4">
        <v>110</v>
      </c>
      <c r="T132" s="4">
        <v>0.5</v>
      </c>
      <c r="U132" s="6">
        <v>0.37000000000000399</v>
      </c>
      <c r="V132" s="6">
        <f>(U132/S132)*O132</f>
        <v>0.84090909090909993</v>
      </c>
      <c r="W132" s="7">
        <v>20</v>
      </c>
      <c r="X132" s="5">
        <v>41682</v>
      </c>
      <c r="Y132" s="11">
        <v>996.46707129268952</v>
      </c>
      <c r="Z132" s="11">
        <v>634.1154090044389</v>
      </c>
      <c r="AA132" s="11">
        <v>181.17583114412537</v>
      </c>
      <c r="AB132" s="11">
        <v>0</v>
      </c>
      <c r="AC132" s="11">
        <v>0</v>
      </c>
      <c r="AD132" s="11">
        <v>634.1154090044389</v>
      </c>
      <c r="AE132" s="11">
        <v>1811.7583114412537</v>
      </c>
      <c r="AF132" s="11">
        <v>0</v>
      </c>
      <c r="AG132" s="37">
        <f t="shared" si="77"/>
        <v>2445.8737204456925</v>
      </c>
      <c r="AH132" s="29">
        <f>SUM(Z132:AF132)</f>
        <v>3261.1649605942566</v>
      </c>
      <c r="AI132">
        <f>1*Z132</f>
        <v>634.1154090044389</v>
      </c>
      <c r="AJ132">
        <f>2*AA132</f>
        <v>362.35166228825074</v>
      </c>
      <c r="AK132">
        <f>3*AB132</f>
        <v>0</v>
      </c>
      <c r="AL132">
        <f>4*AC132</f>
        <v>0</v>
      </c>
      <c r="AM132">
        <f>5*AD132</f>
        <v>3170.5770450221944</v>
      </c>
      <c r="AN132">
        <f>6*(AE132+AF132)</f>
        <v>10870.549868647522</v>
      </c>
      <c r="AO132" s="40">
        <f>SUM(AI132:AN132)/AH132</f>
        <v>4.6111111111111116</v>
      </c>
    </row>
    <row r="133" spans="1:41" x14ac:dyDescent="0.25">
      <c r="A133" s="34" t="s">
        <v>226</v>
      </c>
      <c r="B133" s="4" t="s">
        <v>225</v>
      </c>
      <c r="C133" s="4" t="s">
        <v>362</v>
      </c>
      <c r="D133" s="14">
        <v>41682</v>
      </c>
      <c r="E133" s="14"/>
      <c r="F133" s="4">
        <f t="shared" si="74"/>
        <v>2</v>
      </c>
      <c r="G133" s="4">
        <f t="shared" si="75"/>
        <v>12</v>
      </c>
      <c r="H133" s="4">
        <f t="shared" si="76"/>
        <v>2014</v>
      </c>
      <c r="I133" s="17">
        <v>0.5625</v>
      </c>
      <c r="J133" s="4">
        <v>42.858800000000002</v>
      </c>
      <c r="K133" s="4">
        <v>-69.863600000000005</v>
      </c>
      <c r="L133" s="4" t="s">
        <v>194</v>
      </c>
      <c r="M133" s="4" t="s">
        <v>32</v>
      </c>
      <c r="N133" s="4">
        <v>200</v>
      </c>
      <c r="O133" s="4">
        <v>250</v>
      </c>
      <c r="P133" s="4">
        <v>258</v>
      </c>
      <c r="R133" s="4">
        <v>0.44156000000000001</v>
      </c>
      <c r="S133" s="4">
        <v>110</v>
      </c>
      <c r="T133" s="4">
        <v>0.5</v>
      </c>
      <c r="X133" s="5">
        <v>41682</v>
      </c>
      <c r="AG133" s="37"/>
    </row>
    <row r="134" spans="1:41" x14ac:dyDescent="0.25">
      <c r="A134" s="34" t="s">
        <v>227</v>
      </c>
      <c r="B134" s="4" t="s">
        <v>225</v>
      </c>
      <c r="C134" s="4" t="s">
        <v>362</v>
      </c>
      <c r="D134" s="14">
        <v>41682</v>
      </c>
      <c r="E134" s="14"/>
      <c r="F134" s="4">
        <f t="shared" si="74"/>
        <v>2</v>
      </c>
      <c r="G134" s="4">
        <f t="shared" si="75"/>
        <v>12</v>
      </c>
      <c r="H134" s="4">
        <f t="shared" si="76"/>
        <v>2014</v>
      </c>
      <c r="I134" s="17">
        <v>0.5625</v>
      </c>
      <c r="J134" s="4">
        <v>42.858800000000002</v>
      </c>
      <c r="K134" s="4">
        <v>-69.863600000000005</v>
      </c>
      <c r="L134" s="4" t="s">
        <v>155</v>
      </c>
      <c r="M134" s="4" t="s">
        <v>32</v>
      </c>
      <c r="N134" s="4">
        <v>200</v>
      </c>
      <c r="O134" s="4">
        <v>255</v>
      </c>
      <c r="P134" s="4">
        <v>258</v>
      </c>
      <c r="R134" s="4">
        <v>0.44156000000000001</v>
      </c>
      <c r="S134" s="4">
        <v>113</v>
      </c>
      <c r="T134" s="4">
        <v>0.5</v>
      </c>
      <c r="U134" s="6">
        <v>0.51200000000000001</v>
      </c>
      <c r="V134" s="6">
        <f>(U134/S134)*O134</f>
        <v>1.1553982300884955</v>
      </c>
      <c r="X134" s="5">
        <v>41682</v>
      </c>
      <c r="AG134" s="37"/>
    </row>
    <row r="135" spans="1:41" x14ac:dyDescent="0.25">
      <c r="A135" s="34" t="s">
        <v>228</v>
      </c>
      <c r="B135" s="4" t="s">
        <v>229</v>
      </c>
      <c r="C135" s="4" t="s">
        <v>362</v>
      </c>
      <c r="D135" s="14">
        <v>41750</v>
      </c>
      <c r="E135" s="14"/>
      <c r="F135" s="4">
        <f t="shared" si="74"/>
        <v>4</v>
      </c>
      <c r="G135" s="4">
        <f t="shared" si="75"/>
        <v>21</v>
      </c>
      <c r="H135" s="4">
        <f t="shared" si="76"/>
        <v>2014</v>
      </c>
      <c r="I135" s="10"/>
      <c r="J135" s="4">
        <v>42.861800000000002</v>
      </c>
      <c r="K135" s="4">
        <v>-69.849400000000003</v>
      </c>
      <c r="L135" s="4" t="s">
        <v>147</v>
      </c>
      <c r="M135" s="4" t="s">
        <v>32</v>
      </c>
      <c r="N135" s="4">
        <v>200</v>
      </c>
      <c r="O135" s="4">
        <v>253</v>
      </c>
      <c r="P135" s="4">
        <v>258</v>
      </c>
      <c r="R135" s="4">
        <v>0.44156000000000001</v>
      </c>
      <c r="S135" s="4">
        <v>112</v>
      </c>
      <c r="T135" s="4">
        <v>0.5</v>
      </c>
      <c r="X135" s="5">
        <v>41750</v>
      </c>
      <c r="AG135" s="37"/>
    </row>
    <row r="136" spans="1:41" x14ac:dyDescent="0.25">
      <c r="A136" s="34" t="s">
        <v>230</v>
      </c>
      <c r="B136" s="4" t="s">
        <v>229</v>
      </c>
      <c r="C136" s="4" t="s">
        <v>362</v>
      </c>
      <c r="D136" s="14">
        <v>41750</v>
      </c>
      <c r="E136" s="14"/>
      <c r="F136" s="4">
        <f t="shared" si="74"/>
        <v>4</v>
      </c>
      <c r="G136" s="4">
        <f t="shared" si="75"/>
        <v>21</v>
      </c>
      <c r="H136" s="4">
        <f t="shared" si="76"/>
        <v>2014</v>
      </c>
      <c r="I136" s="10"/>
      <c r="J136" s="4">
        <v>42.861800000000002</v>
      </c>
      <c r="K136" s="4">
        <v>-69.849400000000003</v>
      </c>
      <c r="L136" s="4" t="s">
        <v>149</v>
      </c>
      <c r="M136" s="4" t="s">
        <v>32</v>
      </c>
      <c r="N136" s="4">
        <v>200</v>
      </c>
      <c r="O136" s="4">
        <v>253</v>
      </c>
      <c r="P136" s="4">
        <v>258</v>
      </c>
      <c r="R136" s="4">
        <v>0.44156000000000001</v>
      </c>
      <c r="S136" s="4">
        <v>112</v>
      </c>
      <c r="T136" s="4">
        <v>0.5</v>
      </c>
      <c r="U136" s="6">
        <v>1.476</v>
      </c>
      <c r="V136" s="6">
        <f>(U136/S136)*O136</f>
        <v>3.3341785714285712</v>
      </c>
      <c r="X136" s="5">
        <v>41750</v>
      </c>
      <c r="AG136" s="37"/>
    </row>
    <row r="137" spans="1:41" x14ac:dyDescent="0.25">
      <c r="A137" s="34" t="s">
        <v>231</v>
      </c>
      <c r="B137" s="4" t="s">
        <v>229</v>
      </c>
      <c r="C137" s="4" t="s">
        <v>362</v>
      </c>
      <c r="D137" s="14">
        <v>41750</v>
      </c>
      <c r="E137" s="14"/>
      <c r="F137" s="4">
        <f t="shared" si="74"/>
        <v>4</v>
      </c>
      <c r="G137" s="4">
        <f t="shared" si="75"/>
        <v>21</v>
      </c>
      <c r="H137" s="4">
        <f t="shared" si="76"/>
        <v>2014</v>
      </c>
      <c r="I137" s="10"/>
      <c r="J137" s="4">
        <v>42.861800000000002</v>
      </c>
      <c r="K137" s="4">
        <v>-69.849400000000003</v>
      </c>
      <c r="L137" s="4" t="s">
        <v>162</v>
      </c>
      <c r="M137" s="4" t="s">
        <v>32</v>
      </c>
      <c r="N137" s="4">
        <v>200</v>
      </c>
      <c r="O137" s="4">
        <v>255</v>
      </c>
      <c r="P137" s="4">
        <v>260</v>
      </c>
      <c r="R137" s="4">
        <v>0.44156000000000001</v>
      </c>
      <c r="S137" s="4">
        <v>113</v>
      </c>
      <c r="T137" s="4">
        <v>0.5</v>
      </c>
      <c r="X137" s="5">
        <v>41750</v>
      </c>
      <c r="AG137" s="37"/>
    </row>
    <row r="138" spans="1:41" x14ac:dyDescent="0.25">
      <c r="A138" s="34" t="s">
        <v>232</v>
      </c>
      <c r="B138" s="4" t="s">
        <v>229</v>
      </c>
      <c r="C138" s="4" t="s">
        <v>362</v>
      </c>
      <c r="D138" s="14">
        <v>41750</v>
      </c>
      <c r="F138" s="4">
        <f t="shared" si="74"/>
        <v>4</v>
      </c>
      <c r="G138" s="4">
        <f t="shared" si="75"/>
        <v>21</v>
      </c>
      <c r="H138" s="4">
        <f t="shared" si="76"/>
        <v>2014</v>
      </c>
      <c r="I138" s="10"/>
      <c r="J138" s="4">
        <v>42.861800000000002</v>
      </c>
      <c r="K138" s="4">
        <v>-69.849400000000003</v>
      </c>
      <c r="L138" s="4" t="s">
        <v>157</v>
      </c>
      <c r="M138" s="4" t="s">
        <v>32</v>
      </c>
      <c r="N138" s="4">
        <v>200</v>
      </c>
      <c r="O138" s="4">
        <v>255</v>
      </c>
      <c r="P138" s="4">
        <v>260</v>
      </c>
      <c r="Q138" s="4" t="s">
        <v>233</v>
      </c>
      <c r="R138" s="4">
        <v>0.44156000000000001</v>
      </c>
      <c r="S138" s="4">
        <v>113</v>
      </c>
      <c r="T138" s="4">
        <v>0.5</v>
      </c>
      <c r="U138" s="6">
        <v>1.3540000000000001</v>
      </c>
      <c r="V138" s="6">
        <f>(U138/S138)*O138</f>
        <v>3.0554867256637168</v>
      </c>
      <c r="W138" s="7">
        <v>250</v>
      </c>
      <c r="X138" s="5">
        <v>41750</v>
      </c>
      <c r="Y138" s="11">
        <v>104176.10290787209</v>
      </c>
      <c r="Z138" s="11">
        <v>38499.864118126636</v>
      </c>
      <c r="AA138" s="11">
        <v>22646.978893015668</v>
      </c>
      <c r="AB138" s="11">
        <v>7926.4426125554846</v>
      </c>
      <c r="AC138" s="11">
        <v>4529.3957786031342</v>
      </c>
      <c r="AD138" s="11">
        <v>0</v>
      </c>
      <c r="AE138" s="11">
        <v>0</v>
      </c>
      <c r="AF138" s="11">
        <v>0</v>
      </c>
      <c r="AG138" s="37">
        <f t="shared" si="77"/>
        <v>12455.838391158619</v>
      </c>
      <c r="AH138" s="29">
        <f>SUM(Z138:AF138)</f>
        <v>73602.681402300936</v>
      </c>
      <c r="AI138">
        <f>1*Z138</f>
        <v>38499.864118126636</v>
      </c>
      <c r="AJ138">
        <f>2*AA138</f>
        <v>45293.957786031337</v>
      </c>
      <c r="AK138">
        <f>3*AB138</f>
        <v>23779.327837666453</v>
      </c>
      <c r="AL138">
        <f>4*AC138</f>
        <v>18117.583114412537</v>
      </c>
      <c r="AM138">
        <f>5*AD138</f>
        <v>0</v>
      </c>
      <c r="AN138">
        <f>6*(AE138+AF138)</f>
        <v>0</v>
      </c>
      <c r="AO138" s="40">
        <f>SUM(AI138:AN138)/AH138</f>
        <v>1.7076923076923074</v>
      </c>
    </row>
    <row r="139" spans="1:41" x14ac:dyDescent="0.25">
      <c r="A139" s="34" t="s">
        <v>234</v>
      </c>
      <c r="B139" s="4" t="s">
        <v>235</v>
      </c>
      <c r="C139" s="4" t="s">
        <v>362</v>
      </c>
      <c r="D139" s="14">
        <v>41837</v>
      </c>
      <c r="E139" s="14"/>
      <c r="F139" s="4">
        <f t="shared" si="74"/>
        <v>7</v>
      </c>
      <c r="G139" s="4">
        <f t="shared" si="75"/>
        <v>17</v>
      </c>
      <c r="H139" s="4">
        <f t="shared" si="76"/>
        <v>2014</v>
      </c>
      <c r="I139" s="17">
        <v>0.47500000000000003</v>
      </c>
      <c r="J139" s="4">
        <v>42.859200000000001</v>
      </c>
      <c r="K139" s="4">
        <v>-69.868099999999998</v>
      </c>
      <c r="L139" s="4">
        <v>2</v>
      </c>
      <c r="M139" s="4" t="s">
        <v>32</v>
      </c>
      <c r="N139" s="4">
        <v>200</v>
      </c>
      <c r="O139" s="4">
        <v>248</v>
      </c>
      <c r="P139" s="4">
        <v>253</v>
      </c>
      <c r="R139" s="4">
        <v>0.44156000000000001</v>
      </c>
      <c r="S139" s="4">
        <v>110</v>
      </c>
      <c r="T139" s="4">
        <v>0.5</v>
      </c>
      <c r="U139" s="6">
        <v>4.8920000000000003</v>
      </c>
      <c r="V139" s="6">
        <f>(U139/S139)*O139</f>
        <v>11.029236363636365</v>
      </c>
      <c r="X139" s="5">
        <v>41837</v>
      </c>
      <c r="AG139" s="37"/>
    </row>
    <row r="140" spans="1:41" x14ac:dyDescent="0.25">
      <c r="A140" s="34" t="s">
        <v>236</v>
      </c>
      <c r="B140" s="4" t="s">
        <v>235</v>
      </c>
      <c r="C140" s="4" t="s">
        <v>362</v>
      </c>
      <c r="D140" s="14">
        <v>41837</v>
      </c>
      <c r="F140" s="4">
        <f t="shared" si="74"/>
        <v>7</v>
      </c>
      <c r="G140" s="4">
        <f t="shared" si="75"/>
        <v>17</v>
      </c>
      <c r="H140" s="4">
        <f t="shared" si="76"/>
        <v>2014</v>
      </c>
      <c r="I140" s="17">
        <v>0.46319444444444446</v>
      </c>
      <c r="J140" s="4">
        <v>42.86</v>
      </c>
      <c r="K140" s="4">
        <v>-69.865600000000001</v>
      </c>
      <c r="L140" s="4">
        <v>1</v>
      </c>
      <c r="M140" s="4" t="s">
        <v>32</v>
      </c>
      <c r="N140" s="4">
        <v>200</v>
      </c>
      <c r="O140" s="4">
        <v>250</v>
      </c>
      <c r="P140" s="4">
        <v>255</v>
      </c>
      <c r="R140" s="4">
        <v>0.44156000000000001</v>
      </c>
      <c r="S140" s="4">
        <v>110</v>
      </c>
      <c r="T140" s="4">
        <v>0.5</v>
      </c>
      <c r="U140" s="6">
        <v>5.18</v>
      </c>
      <c r="V140" s="6">
        <f>(U140/S140)*O140</f>
        <v>11.772727272727272</v>
      </c>
      <c r="W140" s="7">
        <v>200</v>
      </c>
      <c r="X140" s="5">
        <v>41837</v>
      </c>
      <c r="Y140" s="11">
        <v>8152.9124014856416</v>
      </c>
      <c r="Z140" s="11">
        <v>5435.274934323761</v>
      </c>
      <c r="AA140" s="11">
        <v>9058.7915572062684</v>
      </c>
      <c r="AB140" s="11">
        <v>16305.824802971283</v>
      </c>
      <c r="AC140" s="11">
        <v>38952.803695986957</v>
      </c>
      <c r="AD140" s="11">
        <v>29894.012138780683</v>
      </c>
      <c r="AE140" s="11">
        <v>905.87915572062684</v>
      </c>
      <c r="AF140" s="11">
        <v>0</v>
      </c>
      <c r="AG140" s="37">
        <f t="shared" si="77"/>
        <v>86058.519793459549</v>
      </c>
      <c r="AH140" s="29">
        <f>SUM(Z140:AF140)</f>
        <v>100552.58628498958</v>
      </c>
      <c r="AI140">
        <f>1*Z140</f>
        <v>5435.274934323761</v>
      </c>
      <c r="AJ140">
        <f>2*AA140</f>
        <v>18117.583114412537</v>
      </c>
      <c r="AK140">
        <f>3*AB140</f>
        <v>48917.474408913848</v>
      </c>
      <c r="AL140">
        <f>4*AC140</f>
        <v>155811.21478394783</v>
      </c>
      <c r="AM140">
        <f>5*AD140</f>
        <v>149470.06069390342</v>
      </c>
      <c r="AN140">
        <f>6*(AE140+AF140)</f>
        <v>5435.274934323761</v>
      </c>
      <c r="AO140" s="40">
        <f>SUM(AI140:AN140)/AH140</f>
        <v>3.8108108108108105</v>
      </c>
    </row>
    <row r="141" spans="1:41" x14ac:dyDescent="0.25">
      <c r="A141" s="34" t="s">
        <v>237</v>
      </c>
      <c r="B141" s="34" t="s">
        <v>341</v>
      </c>
      <c r="C141" s="4" t="s">
        <v>362</v>
      </c>
      <c r="D141" s="14">
        <v>42088</v>
      </c>
      <c r="E141" s="14"/>
      <c r="F141" s="4">
        <f t="shared" ref="F141:F204" si="159">MONTH(D141)</f>
        <v>3</v>
      </c>
      <c r="G141" s="4">
        <f t="shared" ref="G141:G204" si="160">DAY(D141)</f>
        <v>25</v>
      </c>
      <c r="H141" s="4">
        <f t="shared" ref="H141:H204" si="161">YEAR(D141)</f>
        <v>2015</v>
      </c>
      <c r="I141" s="17">
        <v>0.48958333333333331</v>
      </c>
      <c r="J141" s="4">
        <v>42.861600000000003</v>
      </c>
      <c r="K141" s="4">
        <v>-69.864000000000004</v>
      </c>
      <c r="L141" s="4" t="s">
        <v>147</v>
      </c>
      <c r="M141" s="4" t="s">
        <v>32</v>
      </c>
      <c r="N141" s="4">
        <v>200</v>
      </c>
      <c r="O141" s="4">
        <v>255</v>
      </c>
      <c r="P141" s="4">
        <v>259</v>
      </c>
      <c r="R141" s="4">
        <v>0.44156000000000001</v>
      </c>
      <c r="S141" s="4">
        <v>113</v>
      </c>
      <c r="T141" s="4">
        <v>0.5</v>
      </c>
      <c r="X141" s="5">
        <v>42088</v>
      </c>
      <c r="AG141" s="37"/>
    </row>
    <row r="142" spans="1:41" x14ac:dyDescent="0.25">
      <c r="A142" s="34" t="s">
        <v>238</v>
      </c>
      <c r="B142" s="34" t="s">
        <v>341</v>
      </c>
      <c r="C142" s="4" t="s">
        <v>362</v>
      </c>
      <c r="D142" s="14">
        <v>42088</v>
      </c>
      <c r="F142" s="4">
        <f t="shared" si="159"/>
        <v>3</v>
      </c>
      <c r="G142" s="4">
        <f t="shared" si="160"/>
        <v>25</v>
      </c>
      <c r="H142" s="4">
        <f t="shared" si="161"/>
        <v>2015</v>
      </c>
      <c r="I142" s="17">
        <v>0.48958333333333331</v>
      </c>
      <c r="J142" s="4">
        <v>42.861600000000003</v>
      </c>
      <c r="K142" s="4">
        <v>-69.864000000000004</v>
      </c>
      <c r="L142" s="4" t="s">
        <v>149</v>
      </c>
      <c r="M142" s="4" t="s">
        <v>32</v>
      </c>
      <c r="N142" s="4">
        <v>200</v>
      </c>
      <c r="O142" s="4">
        <v>255</v>
      </c>
      <c r="P142" s="4">
        <v>259</v>
      </c>
      <c r="R142" s="4">
        <v>0.44156000000000001</v>
      </c>
      <c r="S142" s="4">
        <v>113</v>
      </c>
      <c r="T142" s="4">
        <v>0.5</v>
      </c>
      <c r="U142" s="6">
        <v>0.56399999999999995</v>
      </c>
      <c r="V142" s="6">
        <f>(U142/S142)*O142</f>
        <v>1.2727433628318583</v>
      </c>
      <c r="W142" s="7">
        <v>93.3333333333333</v>
      </c>
      <c r="X142" s="5">
        <v>42088</v>
      </c>
      <c r="Y142" s="11">
        <v>24941.872754174587</v>
      </c>
      <c r="Z142" s="11">
        <v>10568.590150073978</v>
      </c>
      <c r="AA142" s="11">
        <v>2113.7180300147957</v>
      </c>
      <c r="AB142" s="11">
        <v>1268.2308180088776</v>
      </c>
      <c r="AC142" s="11">
        <v>0</v>
      </c>
      <c r="AD142" s="11">
        <v>0</v>
      </c>
      <c r="AE142" s="11">
        <v>1268.2308180088776</v>
      </c>
      <c r="AF142" s="11">
        <v>0</v>
      </c>
      <c r="AG142" s="37">
        <f t="shared" si="77"/>
        <v>2536.4616360177552</v>
      </c>
      <c r="AH142" s="29">
        <f>SUM(Z142:AF142)</f>
        <v>15218.769816106527</v>
      </c>
      <c r="AI142">
        <f>1*Z142</f>
        <v>10568.590150073978</v>
      </c>
      <c r="AJ142">
        <f>2*AA142</f>
        <v>4227.4360600295913</v>
      </c>
      <c r="AK142">
        <f>3*AB142</f>
        <v>3804.6924540266327</v>
      </c>
      <c r="AL142">
        <f>4*AC142</f>
        <v>0</v>
      </c>
      <c r="AM142">
        <f>5*AD142</f>
        <v>0</v>
      </c>
      <c r="AN142">
        <f>6*(AE142+AF142)</f>
        <v>7609.3849080532655</v>
      </c>
      <c r="AO142" s="40">
        <f>SUM(AI142:AN142)/AH142</f>
        <v>1.7222222222222228</v>
      </c>
    </row>
    <row r="143" spans="1:41" x14ac:dyDescent="0.25">
      <c r="A143" s="34" t="s">
        <v>239</v>
      </c>
      <c r="B143" s="34" t="s">
        <v>341</v>
      </c>
      <c r="C143" s="4" t="s">
        <v>362</v>
      </c>
      <c r="D143" s="14">
        <v>42088</v>
      </c>
      <c r="E143" s="14"/>
      <c r="F143" s="4">
        <f t="shared" si="159"/>
        <v>3</v>
      </c>
      <c r="G143" s="4">
        <f t="shared" si="160"/>
        <v>25</v>
      </c>
      <c r="H143" s="4">
        <f t="shared" si="161"/>
        <v>2015</v>
      </c>
      <c r="I143" s="17">
        <v>0.48958333333333331</v>
      </c>
      <c r="J143" s="4">
        <v>42.861600000000003</v>
      </c>
      <c r="K143" s="4">
        <v>-69.864000000000004</v>
      </c>
      <c r="L143" s="4" t="s">
        <v>162</v>
      </c>
      <c r="M143" s="4" t="s">
        <v>32</v>
      </c>
      <c r="N143" s="4">
        <v>200</v>
      </c>
      <c r="O143" s="4">
        <v>254</v>
      </c>
      <c r="P143" s="4">
        <v>258</v>
      </c>
      <c r="R143" s="4">
        <v>0.44156000000000001</v>
      </c>
      <c r="S143" s="4">
        <v>112</v>
      </c>
      <c r="T143" s="4">
        <v>0.5</v>
      </c>
      <c r="X143" s="5">
        <v>42088</v>
      </c>
      <c r="AG143" s="37"/>
    </row>
    <row r="144" spans="1:41" x14ac:dyDescent="0.25">
      <c r="A144" s="34" t="s">
        <v>240</v>
      </c>
      <c r="B144" s="34" t="s">
        <v>341</v>
      </c>
      <c r="C144" s="4" t="s">
        <v>362</v>
      </c>
      <c r="D144" s="14">
        <v>42088</v>
      </c>
      <c r="E144" s="14"/>
      <c r="F144" s="4">
        <f t="shared" si="159"/>
        <v>3</v>
      </c>
      <c r="G144" s="4">
        <f t="shared" si="160"/>
        <v>25</v>
      </c>
      <c r="H144" s="4">
        <f t="shared" si="161"/>
        <v>2015</v>
      </c>
      <c r="I144" s="17">
        <v>0.48958333333333331</v>
      </c>
      <c r="J144" s="4">
        <v>42.861600000000003</v>
      </c>
      <c r="K144" s="4">
        <v>-69.864000000000004</v>
      </c>
      <c r="L144" s="4" t="s">
        <v>157</v>
      </c>
      <c r="M144" s="4" t="s">
        <v>32</v>
      </c>
      <c r="N144" s="4">
        <v>200</v>
      </c>
      <c r="O144" s="4">
        <v>254</v>
      </c>
      <c r="P144" s="4">
        <v>258</v>
      </c>
      <c r="R144" s="4">
        <v>0.44156000000000001</v>
      </c>
      <c r="S144" s="4">
        <v>112</v>
      </c>
      <c r="T144" s="4">
        <v>0.5</v>
      </c>
      <c r="U144" s="6">
        <v>0.71399999999999797</v>
      </c>
      <c r="V144" s="6">
        <f>(U144/S144)*O144</f>
        <v>1.6192499999999954</v>
      </c>
      <c r="X144" s="5">
        <v>42088</v>
      </c>
      <c r="AG144" s="37"/>
    </row>
    <row r="145" spans="1:41" x14ac:dyDescent="0.25">
      <c r="A145" s="34" t="s">
        <v>241</v>
      </c>
      <c r="B145" s="34" t="s">
        <v>342</v>
      </c>
      <c r="C145" s="4" t="s">
        <v>362</v>
      </c>
      <c r="D145" s="14">
        <v>42160</v>
      </c>
      <c r="E145" s="14"/>
      <c r="F145" s="4">
        <f t="shared" si="159"/>
        <v>6</v>
      </c>
      <c r="G145" s="4">
        <f t="shared" si="160"/>
        <v>5</v>
      </c>
      <c r="H145" s="4">
        <f t="shared" si="161"/>
        <v>2015</v>
      </c>
      <c r="I145" s="17">
        <v>0.51736111111111105</v>
      </c>
      <c r="J145" s="4">
        <v>42.861600000000003</v>
      </c>
      <c r="K145" s="4">
        <v>-69.860399999999998</v>
      </c>
      <c r="L145" s="4" t="s">
        <v>147</v>
      </c>
      <c r="M145" s="4" t="s">
        <v>32</v>
      </c>
      <c r="N145" s="4">
        <v>200</v>
      </c>
      <c r="O145" s="4">
        <v>255</v>
      </c>
      <c r="P145" s="4">
        <v>260</v>
      </c>
      <c r="R145" s="4">
        <v>0.44156000000000001</v>
      </c>
      <c r="S145" s="4">
        <v>113</v>
      </c>
      <c r="T145" s="4">
        <v>0.5</v>
      </c>
      <c r="U145" s="6">
        <v>8.5139999999999993</v>
      </c>
      <c r="V145" s="6">
        <f>(U145/S145)*O145</f>
        <v>19.213008849557522</v>
      </c>
      <c r="X145" s="5">
        <v>42160</v>
      </c>
      <c r="AG145" s="37"/>
    </row>
    <row r="146" spans="1:41" x14ac:dyDescent="0.25">
      <c r="A146" s="34" t="s">
        <v>242</v>
      </c>
      <c r="B146" s="34" t="s">
        <v>342</v>
      </c>
      <c r="C146" s="4" t="s">
        <v>362</v>
      </c>
      <c r="D146" s="14">
        <v>42160</v>
      </c>
      <c r="E146" s="14"/>
      <c r="F146" s="4">
        <f t="shared" si="159"/>
        <v>6</v>
      </c>
      <c r="G146" s="4">
        <f t="shared" si="160"/>
        <v>5</v>
      </c>
      <c r="H146" s="4">
        <f t="shared" si="161"/>
        <v>2015</v>
      </c>
      <c r="I146" s="17">
        <v>0.51736111111111105</v>
      </c>
      <c r="J146" s="4">
        <v>42.861600000000003</v>
      </c>
      <c r="K146" s="4">
        <v>-69.860399999999998</v>
      </c>
      <c r="L146" s="4" t="s">
        <v>149</v>
      </c>
      <c r="M146" s="4" t="s">
        <v>32</v>
      </c>
      <c r="N146" s="4">
        <v>200</v>
      </c>
      <c r="O146" s="4">
        <v>255</v>
      </c>
      <c r="P146" s="4">
        <v>260</v>
      </c>
      <c r="R146" s="4">
        <v>0.44156000000000001</v>
      </c>
      <c r="S146" s="4">
        <v>113</v>
      </c>
      <c r="T146" s="4">
        <v>0.5</v>
      </c>
      <c r="X146" s="5">
        <v>42160</v>
      </c>
      <c r="AG146" s="37"/>
    </row>
    <row r="147" spans="1:41" x14ac:dyDescent="0.25">
      <c r="A147" s="34" t="s">
        <v>243</v>
      </c>
      <c r="B147" s="34" t="s">
        <v>342</v>
      </c>
      <c r="C147" s="4" t="s">
        <v>362</v>
      </c>
      <c r="D147" s="14">
        <v>42160</v>
      </c>
      <c r="F147" s="4">
        <f t="shared" si="159"/>
        <v>6</v>
      </c>
      <c r="G147" s="4">
        <f t="shared" si="160"/>
        <v>5</v>
      </c>
      <c r="H147" s="4">
        <f t="shared" si="161"/>
        <v>2015</v>
      </c>
      <c r="I147" s="17">
        <v>0.54166666666666663</v>
      </c>
      <c r="J147" s="4">
        <v>42.861600000000003</v>
      </c>
      <c r="K147" s="4">
        <v>-69.860399999999998</v>
      </c>
      <c r="L147" s="4" t="s">
        <v>162</v>
      </c>
      <c r="M147" s="4" t="s">
        <v>32</v>
      </c>
      <c r="N147" s="4">
        <v>200</v>
      </c>
      <c r="O147" s="4">
        <v>261</v>
      </c>
      <c r="P147" s="4">
        <v>266</v>
      </c>
      <c r="R147" s="4">
        <v>0.44156000000000001</v>
      </c>
      <c r="S147" s="4">
        <v>115</v>
      </c>
      <c r="T147" s="4">
        <v>0.5</v>
      </c>
      <c r="U147" s="6">
        <v>8.6539999999999999</v>
      </c>
      <c r="V147" s="6">
        <f t="shared" ref="V147:V184" si="162">(U147/S147)*O147</f>
        <v>19.640817391304349</v>
      </c>
      <c r="W147" s="7">
        <v>300</v>
      </c>
      <c r="X147" s="5">
        <v>42160</v>
      </c>
      <c r="Y147" s="11">
        <v>0</v>
      </c>
      <c r="Z147" s="11">
        <v>5435.274934323761</v>
      </c>
      <c r="AA147" s="11">
        <v>17664.643536552223</v>
      </c>
      <c r="AB147" s="11">
        <v>40764.562007428212</v>
      </c>
      <c r="AC147" s="11">
        <v>123652.50475586556</v>
      </c>
      <c r="AD147" s="11">
        <v>72017.392879789841</v>
      </c>
      <c r="AE147" s="11">
        <v>2717.6374671618805</v>
      </c>
      <c r="AF147" s="11">
        <v>6794.0936679047018</v>
      </c>
      <c r="AG147" s="37">
        <f t="shared" ref="AG147:AG207" si="163">SUM(AB147:AF147)</f>
        <v>245946.19077815019</v>
      </c>
      <c r="AH147" s="29">
        <f t="shared" ref="AH147:AH149" si="164">SUM(Z147:AF147)</f>
        <v>269046.10924902622</v>
      </c>
      <c r="AI147">
        <f t="shared" ref="AI147:AI149" si="165">1*Z147</f>
        <v>5435.274934323761</v>
      </c>
      <c r="AJ147">
        <f t="shared" ref="AJ147:AJ149" si="166">2*AA147</f>
        <v>35329.287073104446</v>
      </c>
      <c r="AK147">
        <f t="shared" ref="AK147:AK149" si="167">3*AB147</f>
        <v>122293.68602228464</v>
      </c>
      <c r="AL147">
        <f t="shared" ref="AL147:AL149" si="168">4*AC147</f>
        <v>494610.01902346226</v>
      </c>
      <c r="AM147">
        <f t="shared" ref="AM147:AM149" si="169">5*AD147</f>
        <v>360086.96439894917</v>
      </c>
      <c r="AN147">
        <f t="shared" ref="AN147:AN149" si="170">6*(AE147+AF147)</f>
        <v>57070.38681039949</v>
      </c>
      <c r="AO147" s="40">
        <f t="shared" ref="AO147:AO149" si="171">SUM(AI147:AN147)/AH147</f>
        <v>3.9949494949494944</v>
      </c>
    </row>
    <row r="148" spans="1:41" x14ac:dyDescent="0.25">
      <c r="A148" s="34" t="s">
        <v>244</v>
      </c>
      <c r="B148" s="34" t="s">
        <v>343</v>
      </c>
      <c r="C148" s="4" t="s">
        <v>362</v>
      </c>
      <c r="D148" s="14">
        <v>42191</v>
      </c>
      <c r="F148" s="4">
        <f t="shared" si="159"/>
        <v>7</v>
      </c>
      <c r="G148" s="4">
        <f t="shared" si="160"/>
        <v>6</v>
      </c>
      <c r="H148" s="4">
        <f t="shared" si="161"/>
        <v>2015</v>
      </c>
      <c r="I148" s="17">
        <v>0.47569444444444442</v>
      </c>
      <c r="J148" s="4">
        <v>42.955399999999997</v>
      </c>
      <c r="K148" s="4">
        <v>-69.875100000000003</v>
      </c>
      <c r="L148" s="4">
        <v>2</v>
      </c>
      <c r="M148" s="4" t="s">
        <v>32</v>
      </c>
      <c r="N148" s="4">
        <v>200</v>
      </c>
      <c r="O148" s="4">
        <v>222</v>
      </c>
      <c r="P148" s="4">
        <v>227</v>
      </c>
      <c r="R148" s="4">
        <v>0.44156000000000001</v>
      </c>
      <c r="S148" s="4">
        <v>98</v>
      </c>
      <c r="T148" s="4">
        <v>0.5</v>
      </c>
      <c r="U148" s="6">
        <v>4.9059999999999997</v>
      </c>
      <c r="V148" s="6">
        <f t="shared" si="162"/>
        <v>11.113591836734694</v>
      </c>
      <c r="W148" s="7">
        <v>200</v>
      </c>
      <c r="X148" s="5">
        <v>42191</v>
      </c>
      <c r="Y148" s="11">
        <v>4529.3957786031342</v>
      </c>
      <c r="Z148" s="11">
        <v>8152.9124014856416</v>
      </c>
      <c r="AA148" s="11">
        <v>14494.066491530029</v>
      </c>
      <c r="AB148" s="11">
        <v>5435.274934323761</v>
      </c>
      <c r="AC148" s="11">
        <v>25364.616360177552</v>
      </c>
      <c r="AD148" s="11">
        <v>13588.187335809404</v>
      </c>
      <c r="AE148" s="11">
        <v>905.87915572062684</v>
      </c>
      <c r="AF148" s="11">
        <v>0</v>
      </c>
      <c r="AG148" s="37">
        <f t="shared" si="163"/>
        <v>45293.957786031344</v>
      </c>
      <c r="AH148" s="29">
        <f t="shared" si="164"/>
        <v>67940.936679047009</v>
      </c>
      <c r="AI148">
        <f t="shared" si="165"/>
        <v>8152.9124014856416</v>
      </c>
      <c r="AJ148">
        <f t="shared" si="166"/>
        <v>28988.132983060059</v>
      </c>
      <c r="AK148">
        <f t="shared" si="167"/>
        <v>16305.824802971283</v>
      </c>
      <c r="AL148">
        <f t="shared" si="168"/>
        <v>101458.46544071021</v>
      </c>
      <c r="AM148">
        <f t="shared" si="169"/>
        <v>67940.936679047023</v>
      </c>
      <c r="AN148">
        <f t="shared" si="170"/>
        <v>5435.274934323761</v>
      </c>
      <c r="AO148" s="40">
        <f t="shared" si="171"/>
        <v>3.3600000000000008</v>
      </c>
    </row>
    <row r="149" spans="1:41" x14ac:dyDescent="0.25">
      <c r="A149" s="34" t="s">
        <v>245</v>
      </c>
      <c r="B149" s="34" t="s">
        <v>344</v>
      </c>
      <c r="C149" s="4" t="s">
        <v>362</v>
      </c>
      <c r="D149" s="14">
        <v>42242</v>
      </c>
      <c r="F149" s="4">
        <f t="shared" si="159"/>
        <v>8</v>
      </c>
      <c r="G149" s="4">
        <f t="shared" si="160"/>
        <v>26</v>
      </c>
      <c r="H149" s="4">
        <f t="shared" si="161"/>
        <v>2015</v>
      </c>
      <c r="I149" s="10"/>
      <c r="J149" s="4">
        <v>42.863700000000001</v>
      </c>
      <c r="K149" s="4">
        <v>-69.861500000000007</v>
      </c>
      <c r="L149" s="4">
        <v>1</v>
      </c>
      <c r="M149" s="4" t="s">
        <v>32</v>
      </c>
      <c r="N149" s="4">
        <v>200</v>
      </c>
      <c r="O149" s="4">
        <v>253</v>
      </c>
      <c r="P149" s="4">
        <v>258</v>
      </c>
      <c r="R149" s="4">
        <v>0.44156000000000001</v>
      </c>
      <c r="S149" s="4">
        <v>112</v>
      </c>
      <c r="T149" s="4">
        <v>0.5</v>
      </c>
      <c r="U149" s="6">
        <v>5.4740000000000002</v>
      </c>
      <c r="V149" s="6">
        <f t="shared" si="162"/>
        <v>12.365375</v>
      </c>
      <c r="W149" s="7">
        <v>166.666666666667</v>
      </c>
      <c r="X149" s="5">
        <v>42242</v>
      </c>
      <c r="Y149" s="11">
        <v>1509.7985928677115</v>
      </c>
      <c r="Z149" s="11">
        <v>0</v>
      </c>
      <c r="AA149" s="11">
        <v>1509.7985928677115</v>
      </c>
      <c r="AB149" s="11">
        <v>754.89929643385574</v>
      </c>
      <c r="AC149" s="11">
        <v>18872.482410846391</v>
      </c>
      <c r="AD149" s="11">
        <v>11323.489446507836</v>
      </c>
      <c r="AE149" s="11">
        <v>0</v>
      </c>
      <c r="AF149" s="11">
        <v>0</v>
      </c>
      <c r="AG149" s="37">
        <f t="shared" si="163"/>
        <v>30950.871153788081</v>
      </c>
      <c r="AH149" s="29">
        <f t="shared" si="164"/>
        <v>32460.669746655793</v>
      </c>
      <c r="AI149">
        <f t="shared" si="165"/>
        <v>0</v>
      </c>
      <c r="AJ149">
        <f t="shared" si="166"/>
        <v>3019.597185735423</v>
      </c>
      <c r="AK149">
        <f t="shared" si="167"/>
        <v>2264.6978893015671</v>
      </c>
      <c r="AL149">
        <f t="shared" si="168"/>
        <v>75489.929643385563</v>
      </c>
      <c r="AM149">
        <f t="shared" si="169"/>
        <v>56617.447232539183</v>
      </c>
      <c r="AN149">
        <f t="shared" si="170"/>
        <v>0</v>
      </c>
      <c r="AO149" s="40">
        <f t="shared" si="171"/>
        <v>4.2325581395348841</v>
      </c>
    </row>
    <row r="150" spans="1:41" x14ac:dyDescent="0.25">
      <c r="A150" s="34" t="s">
        <v>246</v>
      </c>
      <c r="B150" s="34" t="s">
        <v>345</v>
      </c>
      <c r="C150" s="4" t="s">
        <v>362</v>
      </c>
      <c r="D150" s="14">
        <v>42284</v>
      </c>
      <c r="E150" s="14"/>
      <c r="F150" s="4">
        <f t="shared" si="159"/>
        <v>10</v>
      </c>
      <c r="G150" s="4">
        <f t="shared" si="160"/>
        <v>7</v>
      </c>
      <c r="H150" s="4">
        <f t="shared" si="161"/>
        <v>2015</v>
      </c>
      <c r="I150" s="17">
        <v>0.4826388888888889</v>
      </c>
      <c r="J150" s="4">
        <v>42.859900000000003</v>
      </c>
      <c r="K150" s="4">
        <v>-69.862200000000001</v>
      </c>
      <c r="L150" s="4">
        <v>1</v>
      </c>
      <c r="M150" s="4" t="s">
        <v>32</v>
      </c>
      <c r="N150" s="4">
        <v>200</v>
      </c>
      <c r="O150" s="4">
        <v>251</v>
      </c>
      <c r="P150" s="4">
        <v>256</v>
      </c>
      <c r="R150" s="4">
        <v>0.44156000000000001</v>
      </c>
      <c r="S150" s="4">
        <v>111</v>
      </c>
      <c r="T150" s="4">
        <v>0.5</v>
      </c>
      <c r="U150" s="6">
        <v>3.8740000000000001</v>
      </c>
      <c r="V150" s="6">
        <f t="shared" si="162"/>
        <v>8.7601261261261261</v>
      </c>
      <c r="X150" s="5">
        <v>42284</v>
      </c>
      <c r="AG150" s="37"/>
    </row>
    <row r="151" spans="1:41" x14ac:dyDescent="0.25">
      <c r="A151" s="34" t="s">
        <v>247</v>
      </c>
      <c r="B151" s="34" t="s">
        <v>345</v>
      </c>
      <c r="C151" s="4" t="s">
        <v>362</v>
      </c>
      <c r="D151" s="14">
        <v>42284</v>
      </c>
      <c r="F151" s="4">
        <f t="shared" si="159"/>
        <v>10</v>
      </c>
      <c r="G151" s="4">
        <f t="shared" si="160"/>
        <v>7</v>
      </c>
      <c r="H151" s="4">
        <f t="shared" si="161"/>
        <v>2015</v>
      </c>
      <c r="I151" s="17">
        <v>0.52430555555555602</v>
      </c>
      <c r="J151" s="4">
        <v>42.859900000000003</v>
      </c>
      <c r="K151" s="4">
        <v>-69.862200000000001</v>
      </c>
      <c r="L151" s="4">
        <v>2</v>
      </c>
      <c r="M151" s="4" t="s">
        <v>32</v>
      </c>
      <c r="N151" s="4">
        <v>200</v>
      </c>
      <c r="O151" s="4">
        <v>252</v>
      </c>
      <c r="P151" s="4">
        <v>257</v>
      </c>
      <c r="R151" s="4">
        <v>0.44156000000000001</v>
      </c>
      <c r="S151" s="4">
        <v>111</v>
      </c>
      <c r="T151" s="4">
        <v>0.5</v>
      </c>
      <c r="U151" s="6">
        <v>4.9139999999999997</v>
      </c>
      <c r="V151" s="6">
        <f t="shared" si="162"/>
        <v>11.156108108108107</v>
      </c>
      <c r="W151" s="7">
        <v>150</v>
      </c>
      <c r="X151" s="5">
        <v>42284</v>
      </c>
      <c r="Y151" s="11">
        <v>0</v>
      </c>
      <c r="Z151" s="11">
        <v>0</v>
      </c>
      <c r="AA151" s="11">
        <v>679.40936679047002</v>
      </c>
      <c r="AB151" s="11">
        <v>679.40936679047002</v>
      </c>
      <c r="AC151" s="11">
        <v>10870.54986864752</v>
      </c>
      <c r="AD151" s="11">
        <v>25138.146571247395</v>
      </c>
      <c r="AE151" s="11">
        <v>0</v>
      </c>
      <c r="AF151" s="11">
        <v>0</v>
      </c>
      <c r="AG151" s="37">
        <f t="shared" si="163"/>
        <v>36688.105806685388</v>
      </c>
      <c r="AH151" s="29">
        <f t="shared" ref="AH151:AH152" si="172">SUM(Z151:AF151)</f>
        <v>37367.515173475855</v>
      </c>
      <c r="AI151">
        <f t="shared" ref="AI151:AI152" si="173">1*Z151</f>
        <v>0</v>
      </c>
      <c r="AJ151">
        <f t="shared" ref="AJ151:AJ152" si="174">2*AA151</f>
        <v>1358.81873358094</v>
      </c>
      <c r="AK151">
        <f t="shared" ref="AK151:AK152" si="175">3*AB151</f>
        <v>2038.2281003714102</v>
      </c>
      <c r="AL151">
        <f t="shared" ref="AL151:AL152" si="176">4*AC151</f>
        <v>43482.199474590081</v>
      </c>
      <c r="AM151">
        <f t="shared" ref="AM151:AM152" si="177">5*AD151</f>
        <v>125690.73285623698</v>
      </c>
      <c r="AN151">
        <f t="shared" ref="AN151:AN152" si="178">6*(AE151+AF151)</f>
        <v>0</v>
      </c>
      <c r="AO151" s="40">
        <f t="shared" ref="AO151:AO152" si="179">SUM(AI151:AN151)/AH151</f>
        <v>4.6181818181818191</v>
      </c>
    </row>
    <row r="152" spans="1:41" x14ac:dyDescent="0.25">
      <c r="A152" s="34" t="s">
        <v>248</v>
      </c>
      <c r="B152" s="34" t="s">
        <v>346</v>
      </c>
      <c r="C152" s="4" t="s">
        <v>362</v>
      </c>
      <c r="D152" s="14">
        <v>42326</v>
      </c>
      <c r="F152" s="4">
        <f t="shared" si="159"/>
        <v>11</v>
      </c>
      <c r="G152" s="4">
        <f t="shared" si="160"/>
        <v>18</v>
      </c>
      <c r="H152" s="4">
        <f t="shared" si="161"/>
        <v>2015</v>
      </c>
      <c r="I152" s="17">
        <v>0.52083333333333337</v>
      </c>
      <c r="J152" s="4">
        <v>42.861600000000003</v>
      </c>
      <c r="K152" s="4">
        <v>-69.861800000000002</v>
      </c>
      <c r="L152" s="4">
        <v>1</v>
      </c>
      <c r="M152" s="4" t="s">
        <v>32</v>
      </c>
      <c r="N152" s="4">
        <v>200</v>
      </c>
      <c r="O152" s="4">
        <v>249</v>
      </c>
      <c r="P152" s="4">
        <v>254</v>
      </c>
      <c r="R152" s="4">
        <v>0.44156000000000001</v>
      </c>
      <c r="S152" s="4">
        <v>110</v>
      </c>
      <c r="T152" s="4">
        <v>0.5</v>
      </c>
      <c r="U152" s="6">
        <v>2.0840000000000001</v>
      </c>
      <c r="V152" s="6">
        <f t="shared" si="162"/>
        <v>4.7174181818181822</v>
      </c>
      <c r="W152" s="7">
        <v>133.333333333333</v>
      </c>
      <c r="X152" s="5">
        <v>42326</v>
      </c>
      <c r="Y152" s="11">
        <v>0</v>
      </c>
      <c r="Z152" s="11">
        <v>0</v>
      </c>
      <c r="AA152" s="11">
        <v>0</v>
      </c>
      <c r="AB152" s="11">
        <v>0</v>
      </c>
      <c r="AC152" s="11">
        <v>3019.597185735423</v>
      </c>
      <c r="AD152" s="11">
        <v>15097.985928677115</v>
      </c>
      <c r="AE152" s="11">
        <v>603.91943714708452</v>
      </c>
      <c r="AF152" s="11">
        <v>603.91943714708452</v>
      </c>
      <c r="AG152" s="37">
        <f t="shared" si="163"/>
        <v>19325.421988706705</v>
      </c>
      <c r="AH152" s="29">
        <f t="shared" si="172"/>
        <v>19325.421988706705</v>
      </c>
      <c r="AI152">
        <f t="shared" si="173"/>
        <v>0</v>
      </c>
      <c r="AJ152">
        <f t="shared" si="174"/>
        <v>0</v>
      </c>
      <c r="AK152">
        <f t="shared" si="175"/>
        <v>0</v>
      </c>
      <c r="AL152">
        <f t="shared" si="176"/>
        <v>12078.388742941692</v>
      </c>
      <c r="AM152">
        <f t="shared" si="177"/>
        <v>75489.929643385578</v>
      </c>
      <c r="AN152">
        <f t="shared" si="178"/>
        <v>7247.0332457650147</v>
      </c>
      <c r="AO152" s="40">
        <f t="shared" si="179"/>
        <v>4.9062500000000009</v>
      </c>
    </row>
    <row r="153" spans="1:41" x14ac:dyDescent="0.25">
      <c r="A153" s="34" t="s">
        <v>249</v>
      </c>
      <c r="B153" s="34" t="s">
        <v>346</v>
      </c>
      <c r="C153" s="4" t="s">
        <v>362</v>
      </c>
      <c r="D153" s="14">
        <v>42326</v>
      </c>
      <c r="E153" s="14"/>
      <c r="F153" s="4">
        <f t="shared" si="159"/>
        <v>11</v>
      </c>
      <c r="G153" s="4">
        <f t="shared" si="160"/>
        <v>18</v>
      </c>
      <c r="H153" s="4">
        <f t="shared" si="161"/>
        <v>2015</v>
      </c>
      <c r="I153" s="17">
        <v>0.53125</v>
      </c>
      <c r="J153" s="4">
        <v>42.861600000000003</v>
      </c>
      <c r="K153" s="4">
        <v>-69.861800000000002</v>
      </c>
      <c r="L153" s="4">
        <v>2</v>
      </c>
      <c r="M153" s="4" t="s">
        <v>32</v>
      </c>
      <c r="N153" s="4">
        <v>200</v>
      </c>
      <c r="O153" s="4">
        <v>248</v>
      </c>
      <c r="P153" s="4">
        <v>253</v>
      </c>
      <c r="R153" s="4">
        <v>0.44156000000000001</v>
      </c>
      <c r="S153" s="4">
        <v>110</v>
      </c>
      <c r="T153" s="4">
        <v>0.5</v>
      </c>
      <c r="U153" s="6">
        <v>2.556</v>
      </c>
      <c r="V153" s="6">
        <f t="shared" si="162"/>
        <v>5.7626181818181825</v>
      </c>
      <c r="X153" s="5">
        <v>42326</v>
      </c>
      <c r="AG153" s="37"/>
    </row>
    <row r="154" spans="1:41" x14ac:dyDescent="0.25">
      <c r="A154" s="34" t="s">
        <v>250</v>
      </c>
      <c r="B154" s="34" t="s">
        <v>347</v>
      </c>
      <c r="C154" s="4" t="s">
        <v>362</v>
      </c>
      <c r="D154" s="14">
        <v>42394</v>
      </c>
      <c r="F154" s="4">
        <f t="shared" si="159"/>
        <v>1</v>
      </c>
      <c r="G154" s="4">
        <f t="shared" si="160"/>
        <v>25</v>
      </c>
      <c r="H154" s="4">
        <f t="shared" si="161"/>
        <v>2016</v>
      </c>
      <c r="I154" s="17">
        <v>0.60138888888888886</v>
      </c>
      <c r="J154" s="4">
        <v>42.861800000000002</v>
      </c>
      <c r="K154" s="4">
        <v>-69.849400000000003</v>
      </c>
      <c r="L154" s="4">
        <v>1</v>
      </c>
      <c r="M154" s="4" t="s">
        <v>32</v>
      </c>
      <c r="N154" s="4">
        <v>200</v>
      </c>
      <c r="O154" s="4">
        <v>255</v>
      </c>
      <c r="P154" s="4">
        <v>260</v>
      </c>
      <c r="R154" s="4">
        <v>0.44156000000000001</v>
      </c>
      <c r="S154" s="4">
        <v>113</v>
      </c>
      <c r="T154" s="4">
        <v>0.5</v>
      </c>
      <c r="U154" s="6">
        <v>1.491999999999998</v>
      </c>
      <c r="V154" s="6">
        <f t="shared" si="162"/>
        <v>3.366902654867252</v>
      </c>
      <c r="W154" s="7">
        <v>66.6666666666667</v>
      </c>
      <c r="X154" s="5">
        <v>42394</v>
      </c>
      <c r="Y154" s="11">
        <v>301.95971857354226</v>
      </c>
      <c r="Z154" s="11">
        <v>0</v>
      </c>
      <c r="AA154" s="11">
        <v>0</v>
      </c>
      <c r="AB154" s="11">
        <v>0</v>
      </c>
      <c r="AC154" s="11">
        <v>603.91943714708452</v>
      </c>
      <c r="AD154" s="11">
        <v>1207.838874294169</v>
      </c>
      <c r="AE154" s="11">
        <v>2113.7180300147957</v>
      </c>
      <c r="AF154" s="11">
        <v>301.95971857354226</v>
      </c>
      <c r="AG154" s="37">
        <f t="shared" si="163"/>
        <v>4227.4360600295913</v>
      </c>
      <c r="AH154" s="29">
        <f>SUM(Z154:AF154)</f>
        <v>4227.4360600295913</v>
      </c>
      <c r="AI154">
        <f>1*Z154</f>
        <v>0</v>
      </c>
      <c r="AJ154">
        <f>2*AA154</f>
        <v>0</v>
      </c>
      <c r="AK154">
        <f>3*AB154</f>
        <v>0</v>
      </c>
      <c r="AL154">
        <f>4*AC154</f>
        <v>2415.6777485883381</v>
      </c>
      <c r="AM154">
        <f>5*AD154</f>
        <v>6039.194371470845</v>
      </c>
      <c r="AN154">
        <f>6*(AE154+AF154)</f>
        <v>14494.066491530029</v>
      </c>
      <c r="AO154" s="40">
        <f>SUM(AI154:AN154)/AH154</f>
        <v>5.4285714285714288</v>
      </c>
    </row>
    <row r="155" spans="1:41" x14ac:dyDescent="0.25">
      <c r="A155" s="34" t="s">
        <v>251</v>
      </c>
      <c r="B155" s="34" t="s">
        <v>348</v>
      </c>
      <c r="C155" s="4" t="s">
        <v>362</v>
      </c>
      <c r="D155" s="14">
        <v>42437</v>
      </c>
      <c r="E155" s="14"/>
      <c r="F155" s="4">
        <f t="shared" si="159"/>
        <v>3</v>
      </c>
      <c r="G155" s="4">
        <f t="shared" si="160"/>
        <v>8</v>
      </c>
      <c r="H155" s="4">
        <f t="shared" si="161"/>
        <v>2016</v>
      </c>
      <c r="I155" s="17">
        <v>0.54513888888888895</v>
      </c>
      <c r="J155" s="4">
        <v>42.861800000000002</v>
      </c>
      <c r="K155" s="4">
        <v>-69.849400000000003</v>
      </c>
      <c r="L155" s="4">
        <v>1</v>
      </c>
      <c r="M155" s="4" t="s">
        <v>32</v>
      </c>
      <c r="N155" s="4">
        <v>200</v>
      </c>
      <c r="O155" s="4">
        <v>255</v>
      </c>
      <c r="P155" s="4">
        <v>260</v>
      </c>
      <c r="R155" s="4">
        <v>0.44156000000000001</v>
      </c>
      <c r="S155" s="4">
        <v>113</v>
      </c>
      <c r="T155" s="4">
        <v>0.5</v>
      </c>
      <c r="U155" s="6">
        <v>1.1759999999999939</v>
      </c>
      <c r="V155" s="6">
        <f t="shared" si="162"/>
        <v>2.6538053097344996</v>
      </c>
      <c r="X155" s="5">
        <v>42437</v>
      </c>
      <c r="AG155" s="37"/>
    </row>
    <row r="156" spans="1:41" ht="15.75" x14ac:dyDescent="0.25">
      <c r="A156" s="10" t="s">
        <v>252</v>
      </c>
      <c r="B156" s="10" t="s">
        <v>348</v>
      </c>
      <c r="C156" s="4" t="s">
        <v>362</v>
      </c>
      <c r="D156" s="32">
        <v>42437</v>
      </c>
      <c r="E156" s="19"/>
      <c r="F156" s="19">
        <f t="shared" si="159"/>
        <v>3</v>
      </c>
      <c r="G156" s="19">
        <f t="shared" si="160"/>
        <v>8</v>
      </c>
      <c r="H156" s="19">
        <f t="shared" si="161"/>
        <v>2016</v>
      </c>
      <c r="I156" s="17">
        <v>0.55555555555555558</v>
      </c>
      <c r="J156" s="19">
        <v>42.861800000000002</v>
      </c>
      <c r="K156" s="19">
        <v>-69.849400000000003</v>
      </c>
      <c r="L156" s="19">
        <v>2</v>
      </c>
      <c r="M156" s="19" t="s">
        <v>32</v>
      </c>
      <c r="N156" s="19">
        <v>200</v>
      </c>
      <c r="O156" s="19">
        <v>253</v>
      </c>
      <c r="P156" s="19">
        <v>258</v>
      </c>
      <c r="Q156" s="19" t="s">
        <v>253</v>
      </c>
      <c r="R156" s="19">
        <v>0.44156000000000001</v>
      </c>
      <c r="S156" s="19">
        <v>112</v>
      </c>
      <c r="T156" s="19">
        <v>1</v>
      </c>
      <c r="U156" s="21">
        <v>1.1439999999999979</v>
      </c>
      <c r="V156" s="21">
        <f t="shared" si="162"/>
        <v>2.5842142857142809</v>
      </c>
      <c r="W156" s="22">
        <v>40</v>
      </c>
      <c r="X156" s="20">
        <v>42437</v>
      </c>
      <c r="Y156" s="11">
        <v>1478</v>
      </c>
      <c r="Z156" s="11">
        <v>92</v>
      </c>
      <c r="AA156" s="11">
        <v>92</v>
      </c>
      <c r="AB156" s="11">
        <v>92</v>
      </c>
      <c r="AC156" s="11">
        <v>0</v>
      </c>
      <c r="AD156" s="11">
        <v>462</v>
      </c>
      <c r="AE156" s="11">
        <v>647</v>
      </c>
      <c r="AF156" s="11">
        <v>277</v>
      </c>
      <c r="AG156" s="37">
        <f t="shared" si="163"/>
        <v>1478</v>
      </c>
      <c r="AH156" s="29">
        <f t="shared" ref="AH156:AH157" si="180">SUM(Z156:AF156)</f>
        <v>1662</v>
      </c>
      <c r="AI156">
        <f t="shared" ref="AI156:AI157" si="181">1*Z156</f>
        <v>92</v>
      </c>
      <c r="AJ156">
        <f t="shared" ref="AJ156:AJ157" si="182">2*AA156</f>
        <v>184</v>
      </c>
      <c r="AK156">
        <f t="shared" ref="AK156:AK157" si="183">3*AB156</f>
        <v>276</v>
      </c>
      <c r="AL156">
        <f t="shared" ref="AL156:AL157" si="184">4*AC156</f>
        <v>0</v>
      </c>
      <c r="AM156">
        <f t="shared" ref="AM156:AM157" si="185">5*AD156</f>
        <v>2310</v>
      </c>
      <c r="AN156">
        <f t="shared" ref="AN156:AN157" si="186">6*(AE156+AF156)</f>
        <v>5544</v>
      </c>
      <c r="AO156" s="40">
        <f t="shared" ref="AO156:AO157" si="187">SUM(AI156:AN156)/AH156</f>
        <v>5.0577617328519855</v>
      </c>
    </row>
    <row r="157" spans="1:41" x14ac:dyDescent="0.25">
      <c r="A157" s="34" t="s">
        <v>254</v>
      </c>
      <c r="B157" s="34" t="s">
        <v>349</v>
      </c>
      <c r="C157" s="4" t="s">
        <v>362</v>
      </c>
      <c r="D157" s="14">
        <v>42459</v>
      </c>
      <c r="F157" s="4">
        <f t="shared" si="159"/>
        <v>3</v>
      </c>
      <c r="G157" s="4">
        <f t="shared" si="160"/>
        <v>30</v>
      </c>
      <c r="H157" s="4">
        <f t="shared" si="161"/>
        <v>2016</v>
      </c>
      <c r="I157" s="17">
        <v>0.5</v>
      </c>
      <c r="J157" s="4">
        <v>42.861400000000003</v>
      </c>
      <c r="K157" s="4">
        <v>-69.861099999999993</v>
      </c>
      <c r="L157" s="4">
        <v>1</v>
      </c>
      <c r="M157" s="4" t="s">
        <v>32</v>
      </c>
      <c r="N157" s="4">
        <v>200</v>
      </c>
      <c r="O157" s="4">
        <v>254</v>
      </c>
      <c r="P157" s="4">
        <v>259</v>
      </c>
      <c r="R157" s="4">
        <v>0.44156000000000001</v>
      </c>
      <c r="S157" s="4">
        <v>112</v>
      </c>
      <c r="T157" s="4">
        <v>0.5</v>
      </c>
      <c r="U157" s="6">
        <v>0.91800000000000004</v>
      </c>
      <c r="V157" s="6">
        <f t="shared" si="162"/>
        <v>2.081892857142857</v>
      </c>
      <c r="W157" s="7">
        <v>240</v>
      </c>
      <c r="X157" s="5">
        <v>42459</v>
      </c>
      <c r="Y157" s="11">
        <v>69571.519159344141</v>
      </c>
      <c r="Z157" s="11">
        <v>9783.4948817827699</v>
      </c>
      <c r="AA157" s="11">
        <v>4348.2199474590088</v>
      </c>
      <c r="AB157" s="11">
        <v>2174.1099737295044</v>
      </c>
      <c r="AC157" s="11">
        <v>1087.0549868647522</v>
      </c>
      <c r="AD157" s="11">
        <v>0</v>
      </c>
      <c r="AE157" s="11">
        <v>0</v>
      </c>
      <c r="AF157" s="11">
        <v>1087.0549868647522</v>
      </c>
      <c r="AG157" s="37">
        <f t="shared" si="163"/>
        <v>4348.2199474590088</v>
      </c>
      <c r="AH157" s="29">
        <f t="shared" si="180"/>
        <v>18479.934776700786</v>
      </c>
      <c r="AI157">
        <f t="shared" si="181"/>
        <v>9783.4948817827699</v>
      </c>
      <c r="AJ157">
        <f t="shared" si="182"/>
        <v>8696.4398949180177</v>
      </c>
      <c r="AK157">
        <f t="shared" si="183"/>
        <v>6522.3299211885133</v>
      </c>
      <c r="AL157">
        <f t="shared" si="184"/>
        <v>4348.2199474590088</v>
      </c>
      <c r="AM157">
        <f t="shared" si="185"/>
        <v>0</v>
      </c>
      <c r="AN157">
        <f t="shared" si="186"/>
        <v>6522.3299211885133</v>
      </c>
      <c r="AO157" s="40">
        <f t="shared" si="187"/>
        <v>1.9411764705882353</v>
      </c>
    </row>
    <row r="158" spans="1:41" x14ac:dyDescent="0.25">
      <c r="A158" s="34" t="s">
        <v>255</v>
      </c>
      <c r="B158" s="34" t="s">
        <v>349</v>
      </c>
      <c r="C158" s="4" t="s">
        <v>362</v>
      </c>
      <c r="D158" s="14">
        <v>42459</v>
      </c>
      <c r="E158" s="14"/>
      <c r="F158" s="4">
        <f t="shared" si="159"/>
        <v>3</v>
      </c>
      <c r="G158" s="4">
        <f t="shared" si="160"/>
        <v>30</v>
      </c>
      <c r="H158" s="4">
        <f t="shared" si="161"/>
        <v>2016</v>
      </c>
      <c r="I158" s="17">
        <v>0.52083333333333337</v>
      </c>
      <c r="J158" s="4">
        <v>42.861400000000003</v>
      </c>
      <c r="K158" s="4">
        <v>-69.861099999999993</v>
      </c>
      <c r="L158" s="4">
        <v>2</v>
      </c>
      <c r="M158" s="4" t="s">
        <v>32</v>
      </c>
      <c r="N158" s="4">
        <v>200</v>
      </c>
      <c r="O158" s="4">
        <v>255</v>
      </c>
      <c r="P158" s="4">
        <v>260</v>
      </c>
      <c r="R158" s="4">
        <v>0.44156000000000001</v>
      </c>
      <c r="S158" s="4">
        <v>113</v>
      </c>
      <c r="T158" s="4">
        <v>0.5</v>
      </c>
      <c r="U158" s="6">
        <v>1.0760000000000001</v>
      </c>
      <c r="V158" s="6">
        <f t="shared" si="162"/>
        <v>2.4281415929203538</v>
      </c>
      <c r="X158" s="5">
        <v>42459</v>
      </c>
      <c r="AG158" s="37"/>
    </row>
    <row r="159" spans="1:41" x14ac:dyDescent="0.25">
      <c r="A159" s="34" t="s">
        <v>256</v>
      </c>
      <c r="B159" s="34" t="s">
        <v>350</v>
      </c>
      <c r="C159" s="4" t="s">
        <v>362</v>
      </c>
      <c r="D159" s="14">
        <v>42481</v>
      </c>
      <c r="F159" s="4">
        <f t="shared" si="159"/>
        <v>4</v>
      </c>
      <c r="G159" s="4">
        <f t="shared" si="160"/>
        <v>21</v>
      </c>
      <c r="H159" s="4">
        <f t="shared" si="161"/>
        <v>2016</v>
      </c>
      <c r="I159" s="17">
        <v>0.53125</v>
      </c>
      <c r="J159" s="4">
        <v>42.862699999999997</v>
      </c>
      <c r="K159" s="4">
        <v>-69.8626</v>
      </c>
      <c r="L159" s="4">
        <v>1</v>
      </c>
      <c r="M159" s="4" t="s">
        <v>32</v>
      </c>
      <c r="N159" s="4">
        <v>200</v>
      </c>
      <c r="O159" s="4">
        <v>254</v>
      </c>
      <c r="P159" s="4">
        <v>259</v>
      </c>
      <c r="R159" s="4">
        <v>0.44156000000000001</v>
      </c>
      <c r="S159" s="4">
        <v>112</v>
      </c>
      <c r="T159" s="4">
        <v>0.5</v>
      </c>
      <c r="U159" s="6">
        <v>3.3719999999999999</v>
      </c>
      <c r="V159" s="6">
        <f t="shared" si="162"/>
        <v>7.647214285714286</v>
      </c>
      <c r="W159" s="7">
        <v>600</v>
      </c>
      <c r="X159" s="5">
        <v>42481</v>
      </c>
      <c r="Y159" s="11">
        <v>247305.00951173113</v>
      </c>
      <c r="Z159" s="11">
        <v>38046.924540266329</v>
      </c>
      <c r="AA159" s="11">
        <v>21741.099737295044</v>
      </c>
      <c r="AB159" s="11">
        <v>16305.824802971285</v>
      </c>
      <c r="AC159" s="11">
        <v>5435.274934323761</v>
      </c>
      <c r="AD159" s="11">
        <v>2717.6374671618805</v>
      </c>
      <c r="AE159" s="11">
        <v>2717.6374671618805</v>
      </c>
      <c r="AF159" s="11">
        <v>0</v>
      </c>
      <c r="AG159" s="37">
        <f t="shared" si="163"/>
        <v>27176.374671618803</v>
      </c>
      <c r="AH159" s="29">
        <f>SUM(Z159:AF159)</f>
        <v>86964.398949180191</v>
      </c>
      <c r="AI159">
        <f>1*Z159</f>
        <v>38046.924540266329</v>
      </c>
      <c r="AJ159">
        <f>2*AA159</f>
        <v>43482.199474590088</v>
      </c>
      <c r="AK159">
        <f>3*AB159</f>
        <v>48917.474408913855</v>
      </c>
      <c r="AL159">
        <f>4*AC159</f>
        <v>21741.099737295044</v>
      </c>
      <c r="AM159">
        <f>5*AD159</f>
        <v>13588.187335809402</v>
      </c>
      <c r="AN159">
        <f>6*(AE159+AF159)</f>
        <v>16305.824802971283</v>
      </c>
      <c r="AO159" s="40">
        <f>SUM(AI159:AN159)/AH159</f>
        <v>2.0937499999999996</v>
      </c>
    </row>
    <row r="160" spans="1:41" x14ac:dyDescent="0.25">
      <c r="A160" s="34" t="s">
        <v>257</v>
      </c>
      <c r="B160" s="34" t="s">
        <v>350</v>
      </c>
      <c r="C160" s="4" t="s">
        <v>362</v>
      </c>
      <c r="D160" s="14">
        <v>42481</v>
      </c>
      <c r="E160" s="14"/>
      <c r="F160" s="4">
        <f t="shared" si="159"/>
        <v>4</v>
      </c>
      <c r="G160" s="4">
        <f t="shared" si="160"/>
        <v>21</v>
      </c>
      <c r="H160" s="4">
        <f t="shared" si="161"/>
        <v>2016</v>
      </c>
      <c r="I160" s="17">
        <v>0.54166666666666663</v>
      </c>
      <c r="J160" s="4">
        <v>42.862699999999997</v>
      </c>
      <c r="K160" s="4">
        <v>-69.8626</v>
      </c>
      <c r="L160" s="4">
        <v>2</v>
      </c>
      <c r="M160" s="4" t="s">
        <v>32</v>
      </c>
      <c r="N160" s="4">
        <v>200</v>
      </c>
      <c r="O160" s="4">
        <v>255</v>
      </c>
      <c r="P160" s="4">
        <v>260</v>
      </c>
      <c r="R160" s="4">
        <v>0.44156000000000001</v>
      </c>
      <c r="S160" s="4">
        <v>113</v>
      </c>
      <c r="T160" s="4">
        <v>0.5</v>
      </c>
      <c r="U160" s="6">
        <v>3.5640000000000001</v>
      </c>
      <c r="V160" s="6">
        <f t="shared" si="162"/>
        <v>8.0426548672566369</v>
      </c>
      <c r="X160" s="5">
        <v>42481</v>
      </c>
      <c r="AG160" s="37"/>
    </row>
    <row r="161" spans="1:41" x14ac:dyDescent="0.25">
      <c r="A161" s="34" t="s">
        <v>258</v>
      </c>
      <c r="B161" s="34" t="s">
        <v>351</v>
      </c>
      <c r="C161" s="4" t="s">
        <v>362</v>
      </c>
      <c r="D161" s="14">
        <v>42501</v>
      </c>
      <c r="E161" s="14"/>
      <c r="F161" s="4">
        <f t="shared" si="159"/>
        <v>5</v>
      </c>
      <c r="G161" s="4">
        <f t="shared" si="160"/>
        <v>11</v>
      </c>
      <c r="H161" s="4">
        <f t="shared" si="161"/>
        <v>2016</v>
      </c>
      <c r="I161" s="17">
        <v>0.48958333333333331</v>
      </c>
      <c r="J161" s="4">
        <v>42.865099999999998</v>
      </c>
      <c r="K161" s="4">
        <v>-69.860900000000001</v>
      </c>
      <c r="L161" s="4">
        <v>1</v>
      </c>
      <c r="M161" s="4" t="s">
        <v>32</v>
      </c>
      <c r="N161" s="4">
        <v>200</v>
      </c>
      <c r="O161" s="4">
        <v>254</v>
      </c>
      <c r="P161" s="4">
        <v>259</v>
      </c>
      <c r="R161" s="4">
        <v>0.44156000000000001</v>
      </c>
      <c r="S161" s="4">
        <v>112</v>
      </c>
      <c r="T161" s="4">
        <v>0.5</v>
      </c>
      <c r="U161" s="6">
        <v>6.79</v>
      </c>
      <c r="V161" s="6">
        <f t="shared" si="162"/>
        <v>15.39875</v>
      </c>
      <c r="X161" s="5">
        <v>42501</v>
      </c>
      <c r="AG161" s="37"/>
    </row>
    <row r="162" spans="1:41" x14ac:dyDescent="0.25">
      <c r="A162" s="34" t="s">
        <v>259</v>
      </c>
      <c r="B162" s="34" t="s">
        <v>351</v>
      </c>
      <c r="C162" s="4" t="s">
        <v>362</v>
      </c>
      <c r="D162" s="14">
        <v>42501</v>
      </c>
      <c r="F162" s="4">
        <f t="shared" si="159"/>
        <v>5</v>
      </c>
      <c r="G162" s="4">
        <f t="shared" si="160"/>
        <v>11</v>
      </c>
      <c r="H162" s="4">
        <f t="shared" si="161"/>
        <v>2016</v>
      </c>
      <c r="I162" s="17">
        <v>0.50347222222222221</v>
      </c>
      <c r="J162" s="4">
        <v>42.865099999999998</v>
      </c>
      <c r="K162" s="4">
        <v>-69.860900000000001</v>
      </c>
      <c r="L162" s="4">
        <v>2</v>
      </c>
      <c r="M162" s="4" t="s">
        <v>32</v>
      </c>
      <c r="N162" s="4">
        <v>200</v>
      </c>
      <c r="O162" s="4">
        <v>254</v>
      </c>
      <c r="P162" s="4">
        <v>259</v>
      </c>
      <c r="Q162" s="4" t="s">
        <v>260</v>
      </c>
      <c r="R162" s="4">
        <v>0.44156000000000001</v>
      </c>
      <c r="S162" s="4">
        <v>112</v>
      </c>
      <c r="T162" s="4">
        <v>0.5</v>
      </c>
      <c r="U162" s="6">
        <v>6.5259999999999998</v>
      </c>
      <c r="V162" s="6">
        <f t="shared" si="162"/>
        <v>14.800035714285714</v>
      </c>
      <c r="W162" s="7">
        <v>360</v>
      </c>
      <c r="X162" s="5">
        <v>42501</v>
      </c>
      <c r="Y162" s="11">
        <v>11414.077362079899</v>
      </c>
      <c r="Z162" s="11">
        <v>16305.824802971285</v>
      </c>
      <c r="AA162" s="11">
        <v>26089.319684754053</v>
      </c>
      <c r="AB162" s="11">
        <v>50548.05688921098</v>
      </c>
      <c r="AC162" s="11">
        <v>55439.804330102364</v>
      </c>
      <c r="AD162" s="11">
        <v>16305.824802971285</v>
      </c>
      <c r="AE162" s="11">
        <v>1630.5824802971283</v>
      </c>
      <c r="AF162" s="11">
        <v>3261.1649605942566</v>
      </c>
      <c r="AG162" s="37">
        <f t="shared" si="163"/>
        <v>127185.43346317601</v>
      </c>
      <c r="AH162" s="29">
        <f>SUM(Z162:AF162)</f>
        <v>169580.57795090135</v>
      </c>
      <c r="AI162">
        <f>1*Z162</f>
        <v>16305.824802971285</v>
      </c>
      <c r="AJ162">
        <f>2*AA162</f>
        <v>52178.639369508106</v>
      </c>
      <c r="AK162">
        <f>3*AB162</f>
        <v>151644.17066763295</v>
      </c>
      <c r="AL162">
        <f>4*AC162</f>
        <v>221759.21732040946</v>
      </c>
      <c r="AM162">
        <f>5*AD162</f>
        <v>81529.124014856425</v>
      </c>
      <c r="AN162">
        <f>6*(AE162+AF162)</f>
        <v>29350.484645348311</v>
      </c>
      <c r="AO162" s="40">
        <f>SUM(AI162:AN162)/AH162</f>
        <v>3.2596153846153841</v>
      </c>
    </row>
    <row r="163" spans="1:41" ht="15.75" x14ac:dyDescent="0.25">
      <c r="A163" s="10" t="s">
        <v>261</v>
      </c>
      <c r="B163" s="10" t="s">
        <v>352</v>
      </c>
      <c r="C163" s="4" t="s">
        <v>362</v>
      </c>
      <c r="D163" s="32">
        <v>42536</v>
      </c>
      <c r="E163" s="32"/>
      <c r="F163" s="19">
        <f t="shared" si="159"/>
        <v>6</v>
      </c>
      <c r="G163" s="19">
        <f t="shared" si="160"/>
        <v>15</v>
      </c>
      <c r="H163" s="19">
        <f t="shared" si="161"/>
        <v>2016</v>
      </c>
      <c r="I163" s="17">
        <v>0.53125</v>
      </c>
      <c r="J163" s="19">
        <v>42.860999999999997</v>
      </c>
      <c r="K163" s="19">
        <v>-69.860900000000001</v>
      </c>
      <c r="L163" s="19">
        <v>1</v>
      </c>
      <c r="M163" s="19" t="s">
        <v>32</v>
      </c>
      <c r="N163" s="19">
        <v>200</v>
      </c>
      <c r="O163" s="19">
        <v>254</v>
      </c>
      <c r="P163" s="19">
        <v>259</v>
      </c>
      <c r="Q163" s="19"/>
      <c r="R163" s="19">
        <v>0.44156000000000001</v>
      </c>
      <c r="S163" s="19">
        <v>112</v>
      </c>
      <c r="T163" s="19">
        <v>0.5</v>
      </c>
      <c r="U163" s="21">
        <v>7.0259999999999998</v>
      </c>
      <c r="V163" s="21">
        <f t="shared" si="162"/>
        <v>15.933964285714287</v>
      </c>
      <c r="W163" s="22"/>
      <c r="X163" s="20">
        <v>42536</v>
      </c>
      <c r="Y163" s="22"/>
      <c r="Z163" s="22"/>
      <c r="AA163" s="22"/>
      <c r="AB163" s="22"/>
      <c r="AC163" s="22"/>
      <c r="AD163" s="22"/>
      <c r="AE163" s="22"/>
      <c r="AF163" s="22"/>
      <c r="AG163" s="37"/>
    </row>
    <row r="164" spans="1:41" ht="15.75" x14ac:dyDescent="0.25">
      <c r="A164" s="10" t="s">
        <v>262</v>
      </c>
      <c r="B164" s="10" t="s">
        <v>352</v>
      </c>
      <c r="C164" s="4" t="s">
        <v>362</v>
      </c>
      <c r="D164" s="32">
        <v>42536</v>
      </c>
      <c r="E164" s="19"/>
      <c r="F164" s="19">
        <f t="shared" si="159"/>
        <v>6</v>
      </c>
      <c r="G164" s="19">
        <f t="shared" si="160"/>
        <v>15</v>
      </c>
      <c r="H164" s="19">
        <f t="shared" si="161"/>
        <v>2016</v>
      </c>
      <c r="I164" s="17">
        <v>0.53125</v>
      </c>
      <c r="J164" s="19">
        <v>42.860999999999997</v>
      </c>
      <c r="K164" s="19">
        <v>-69.860900000000001</v>
      </c>
      <c r="L164" s="19">
        <v>2</v>
      </c>
      <c r="M164" s="19" t="s">
        <v>32</v>
      </c>
      <c r="N164" s="19">
        <v>200</v>
      </c>
      <c r="O164" s="19">
        <v>254</v>
      </c>
      <c r="P164" s="19">
        <v>259</v>
      </c>
      <c r="Q164" s="19"/>
      <c r="R164" s="19">
        <v>0.44156000000000001</v>
      </c>
      <c r="S164" s="19">
        <v>112</v>
      </c>
      <c r="T164" s="19">
        <v>0.5</v>
      </c>
      <c r="U164" s="21">
        <v>7.59</v>
      </c>
      <c r="V164" s="21">
        <f t="shared" si="162"/>
        <v>17.213035714285713</v>
      </c>
      <c r="W164" s="22">
        <v>250</v>
      </c>
      <c r="X164" s="20">
        <v>42536</v>
      </c>
      <c r="Y164" s="11">
        <v>0</v>
      </c>
      <c r="Z164" s="11">
        <v>0</v>
      </c>
      <c r="AA164" s="11">
        <v>0</v>
      </c>
      <c r="AB164" s="11">
        <v>102.94081315007125</v>
      </c>
      <c r="AC164" s="11">
        <v>4632.3365917532064</v>
      </c>
      <c r="AD164" s="11">
        <v>3705.8692734025649</v>
      </c>
      <c r="AE164" s="11">
        <v>720.58569205049878</v>
      </c>
      <c r="AF164" s="11">
        <v>0</v>
      </c>
      <c r="AG164" s="37">
        <f t="shared" si="163"/>
        <v>9161.7323703563416</v>
      </c>
      <c r="AH164" s="29">
        <f t="shared" ref="AH164:AH165" si="188">SUM(Z164:AF164)</f>
        <v>9161.7323703563416</v>
      </c>
      <c r="AI164">
        <f t="shared" ref="AI164:AI165" si="189">1*Z164</f>
        <v>0</v>
      </c>
      <c r="AJ164">
        <f t="shared" ref="AJ164:AJ165" si="190">2*AA164</f>
        <v>0</v>
      </c>
      <c r="AK164">
        <f t="shared" ref="AK164:AK165" si="191">3*AB164</f>
        <v>308.82243945021378</v>
      </c>
      <c r="AL164">
        <f t="shared" ref="AL164:AL165" si="192">4*AC164</f>
        <v>18529.346367012826</v>
      </c>
      <c r="AM164">
        <f t="shared" ref="AM164:AM165" si="193">5*AD164</f>
        <v>18529.346367012826</v>
      </c>
      <c r="AN164">
        <f t="shared" ref="AN164:AN165" si="194">6*(AE164+AF164)</f>
        <v>4323.5141523029924</v>
      </c>
      <c r="AO164" s="40">
        <f t="shared" ref="AO164:AO165" si="195">SUM(AI164:AN164)/AH164</f>
        <v>4.5505617977528088</v>
      </c>
    </row>
    <row r="165" spans="1:41" x14ac:dyDescent="0.25">
      <c r="A165" s="34" t="s">
        <v>263</v>
      </c>
      <c r="B165" s="34" t="s">
        <v>353</v>
      </c>
      <c r="C165" s="4" t="s">
        <v>362</v>
      </c>
      <c r="D165" s="14">
        <v>42556</v>
      </c>
      <c r="F165" s="4">
        <f t="shared" si="159"/>
        <v>7</v>
      </c>
      <c r="G165" s="4">
        <f t="shared" si="160"/>
        <v>5</v>
      </c>
      <c r="H165" s="4">
        <f t="shared" si="161"/>
        <v>2016</v>
      </c>
      <c r="I165" s="17">
        <v>0.46875</v>
      </c>
      <c r="J165" s="4">
        <v>42.956800000000001</v>
      </c>
      <c r="K165" s="4">
        <v>-69.877899999999997</v>
      </c>
      <c r="L165" s="4">
        <v>1</v>
      </c>
      <c r="M165" s="4" t="s">
        <v>32</v>
      </c>
      <c r="N165" s="4">
        <v>200</v>
      </c>
      <c r="O165" s="4">
        <v>225</v>
      </c>
      <c r="P165" s="4">
        <v>230</v>
      </c>
      <c r="Q165" s="4" t="s">
        <v>264</v>
      </c>
      <c r="R165" s="4">
        <v>0.44156000000000001</v>
      </c>
      <c r="S165" s="4">
        <v>99</v>
      </c>
      <c r="T165" s="4">
        <v>0.5</v>
      </c>
      <c r="U165" s="6">
        <v>13.752000000000001</v>
      </c>
      <c r="V165" s="6">
        <f t="shared" si="162"/>
        <v>31.254545454545458</v>
      </c>
      <c r="W165" s="7">
        <v>150</v>
      </c>
      <c r="X165" s="5">
        <v>42556</v>
      </c>
      <c r="Y165" s="11">
        <v>0</v>
      </c>
      <c r="Z165" s="11">
        <v>0</v>
      </c>
      <c r="AA165" s="11">
        <v>0</v>
      </c>
      <c r="AB165" s="11">
        <v>0</v>
      </c>
      <c r="AC165" s="11">
        <v>17664.643536552227</v>
      </c>
      <c r="AD165" s="11">
        <v>63864.480478304191</v>
      </c>
      <c r="AE165" s="11">
        <v>4755.8655675332911</v>
      </c>
      <c r="AF165" s="11">
        <v>679.40936679047024</v>
      </c>
      <c r="AG165" s="37">
        <f t="shared" si="163"/>
        <v>86964.398949180162</v>
      </c>
      <c r="AH165" s="29">
        <f t="shared" si="188"/>
        <v>86964.398949180162</v>
      </c>
      <c r="AI165">
        <f t="shared" si="189"/>
        <v>0</v>
      </c>
      <c r="AJ165">
        <f t="shared" si="190"/>
        <v>0</v>
      </c>
      <c r="AK165">
        <f t="shared" si="191"/>
        <v>0</v>
      </c>
      <c r="AL165">
        <f t="shared" si="192"/>
        <v>70658.574146208906</v>
      </c>
      <c r="AM165">
        <f t="shared" si="193"/>
        <v>319322.40239152097</v>
      </c>
      <c r="AN165">
        <f t="shared" si="194"/>
        <v>32611.649605942566</v>
      </c>
      <c r="AO165" s="40">
        <f t="shared" si="195"/>
        <v>4.859375</v>
      </c>
    </row>
    <row r="166" spans="1:41" x14ac:dyDescent="0.25">
      <c r="A166" s="34" t="s">
        <v>265</v>
      </c>
      <c r="B166" s="34" t="s">
        <v>353</v>
      </c>
      <c r="C166" s="4" t="s">
        <v>362</v>
      </c>
      <c r="D166" s="14">
        <v>42556</v>
      </c>
      <c r="E166" s="14"/>
      <c r="F166" s="4">
        <f t="shared" si="159"/>
        <v>7</v>
      </c>
      <c r="G166" s="4">
        <f t="shared" si="160"/>
        <v>5</v>
      </c>
      <c r="H166" s="4">
        <f t="shared" si="161"/>
        <v>2016</v>
      </c>
      <c r="I166" s="17">
        <v>0.47916666666666669</v>
      </c>
      <c r="J166" s="4">
        <v>42.959299999999999</v>
      </c>
      <c r="K166" s="4">
        <v>-69.879800000000003</v>
      </c>
      <c r="L166" s="4">
        <v>2</v>
      </c>
      <c r="M166" s="4" t="s">
        <v>32</v>
      </c>
      <c r="N166" s="4">
        <v>200</v>
      </c>
      <c r="O166" s="4">
        <v>225</v>
      </c>
      <c r="P166" s="4">
        <v>230</v>
      </c>
      <c r="Q166" s="4" t="s">
        <v>264</v>
      </c>
      <c r="R166" s="4">
        <v>0.44156000000000001</v>
      </c>
      <c r="S166" s="4">
        <v>99</v>
      </c>
      <c r="T166" s="4">
        <v>0.5</v>
      </c>
      <c r="U166" s="6">
        <v>10.672000000000001</v>
      </c>
      <c r="V166" s="6">
        <f t="shared" si="162"/>
        <v>24.254545454545458</v>
      </c>
      <c r="X166" s="5">
        <v>42556</v>
      </c>
      <c r="AG166" s="37"/>
    </row>
    <row r="167" spans="1:41" x14ac:dyDescent="0.25">
      <c r="A167" s="34" t="s">
        <v>266</v>
      </c>
      <c r="B167" s="34" t="s">
        <v>354</v>
      </c>
      <c r="C167" s="4" t="s">
        <v>362</v>
      </c>
      <c r="D167" s="14">
        <v>42578</v>
      </c>
      <c r="F167" s="4">
        <f t="shared" si="159"/>
        <v>7</v>
      </c>
      <c r="G167" s="4">
        <f t="shared" si="160"/>
        <v>27</v>
      </c>
      <c r="H167" s="4">
        <f t="shared" si="161"/>
        <v>2016</v>
      </c>
      <c r="I167" s="17">
        <v>0.54166666666666663</v>
      </c>
      <c r="J167" s="4">
        <v>42.861899999999999</v>
      </c>
      <c r="K167" s="4">
        <v>-69.857100000000003</v>
      </c>
      <c r="L167" s="4">
        <v>1</v>
      </c>
      <c r="M167" s="4" t="s">
        <v>32</v>
      </c>
      <c r="N167" s="4">
        <v>200</v>
      </c>
      <c r="O167" s="4">
        <v>253</v>
      </c>
      <c r="P167" s="4">
        <v>258</v>
      </c>
      <c r="R167" s="4">
        <v>0.44156000000000001</v>
      </c>
      <c r="S167" s="4">
        <v>112</v>
      </c>
      <c r="T167" s="4">
        <v>0.5</v>
      </c>
      <c r="U167" s="6">
        <v>10.164</v>
      </c>
      <c r="V167" s="6">
        <f t="shared" si="162"/>
        <v>22.95975</v>
      </c>
      <c r="W167" s="7">
        <v>183.333333333333</v>
      </c>
      <c r="X167" s="5">
        <v>42578</v>
      </c>
      <c r="Y167" s="11">
        <v>0</v>
      </c>
      <c r="Z167" s="11">
        <v>0</v>
      </c>
      <c r="AA167" s="11">
        <v>0</v>
      </c>
      <c r="AB167" s="11">
        <v>2491.167678231724</v>
      </c>
      <c r="AC167" s="11">
        <v>32385.179817012402</v>
      </c>
      <c r="AD167" s="11">
        <v>78056.587251260673</v>
      </c>
      <c r="AE167" s="11">
        <v>3321.5569043089649</v>
      </c>
      <c r="AF167" s="11">
        <v>0</v>
      </c>
      <c r="AG167" s="37">
        <f t="shared" si="163"/>
        <v>116254.49165081375</v>
      </c>
      <c r="AH167" s="29">
        <f>SUM(Z167:AF167)</f>
        <v>116254.49165081375</v>
      </c>
      <c r="AI167">
        <f>1*Z167</f>
        <v>0</v>
      </c>
      <c r="AJ167">
        <f>2*AA167</f>
        <v>0</v>
      </c>
      <c r="AK167">
        <f>3*AB167</f>
        <v>7473.5030346951717</v>
      </c>
      <c r="AL167">
        <f>4*AC167</f>
        <v>129540.71926804961</v>
      </c>
      <c r="AM167">
        <f>5*AD167</f>
        <v>390282.93625630334</v>
      </c>
      <c r="AN167">
        <f>6*(AE167+AF167)</f>
        <v>19929.341425853789</v>
      </c>
      <c r="AO167" s="40">
        <f>SUM(AI167:AN167)/AH167</f>
        <v>4.7071428571428573</v>
      </c>
    </row>
    <row r="168" spans="1:41" x14ac:dyDescent="0.25">
      <c r="A168" s="34" t="s">
        <v>267</v>
      </c>
      <c r="B168" s="34" t="s">
        <v>354</v>
      </c>
      <c r="C168" s="4" t="s">
        <v>362</v>
      </c>
      <c r="D168" s="14">
        <v>42578</v>
      </c>
      <c r="E168" s="14"/>
      <c r="F168" s="4">
        <f t="shared" si="159"/>
        <v>7</v>
      </c>
      <c r="G168" s="4">
        <f t="shared" si="160"/>
        <v>27</v>
      </c>
      <c r="H168" s="4">
        <f t="shared" si="161"/>
        <v>2016</v>
      </c>
      <c r="I168" s="17">
        <v>0.58333333333333304</v>
      </c>
      <c r="J168" s="4">
        <v>42.861899999999999</v>
      </c>
      <c r="K168" s="4">
        <v>-69.857100000000003</v>
      </c>
      <c r="L168" s="4">
        <v>2</v>
      </c>
      <c r="M168" s="4" t="s">
        <v>32</v>
      </c>
      <c r="N168" s="4">
        <v>200</v>
      </c>
      <c r="O168" s="4">
        <v>253</v>
      </c>
      <c r="P168" s="4">
        <v>258</v>
      </c>
      <c r="R168" s="4">
        <v>0.44156000000000001</v>
      </c>
      <c r="S168" s="4">
        <v>112</v>
      </c>
      <c r="T168" s="4">
        <v>0.5</v>
      </c>
      <c r="U168" s="6">
        <v>9.8480000000000008</v>
      </c>
      <c r="V168" s="6">
        <f t="shared" si="162"/>
        <v>22.245928571428575</v>
      </c>
      <c r="X168" s="5">
        <v>42578</v>
      </c>
      <c r="AG168" s="37"/>
    </row>
    <row r="169" spans="1:41" x14ac:dyDescent="0.25">
      <c r="A169" s="34" t="s">
        <v>268</v>
      </c>
      <c r="B169" s="34" t="s">
        <v>355</v>
      </c>
      <c r="C169" s="4" t="s">
        <v>362</v>
      </c>
      <c r="D169" s="14">
        <v>42655</v>
      </c>
      <c r="F169" s="4">
        <f t="shared" si="159"/>
        <v>10</v>
      </c>
      <c r="G169" s="4">
        <f t="shared" si="160"/>
        <v>12</v>
      </c>
      <c r="H169" s="4">
        <f t="shared" si="161"/>
        <v>2016</v>
      </c>
      <c r="I169" s="17">
        <v>0.5</v>
      </c>
      <c r="J169" s="4">
        <v>42.862699999999997</v>
      </c>
      <c r="K169" s="4">
        <v>69.861599999999996</v>
      </c>
      <c r="L169" s="4">
        <v>1</v>
      </c>
      <c r="M169" s="4" t="s">
        <v>32</v>
      </c>
      <c r="N169" s="4">
        <v>200</v>
      </c>
      <c r="O169" s="4">
        <v>250</v>
      </c>
      <c r="P169" s="4">
        <v>255</v>
      </c>
      <c r="Q169" s="4" t="s">
        <v>269</v>
      </c>
      <c r="R169" s="4">
        <v>0.44156000000000001</v>
      </c>
      <c r="S169" s="4">
        <v>110</v>
      </c>
      <c r="T169" s="4">
        <v>0.5</v>
      </c>
      <c r="U169" s="6">
        <v>6.1559999999999997</v>
      </c>
      <c r="V169" s="6">
        <f t="shared" si="162"/>
        <v>13.99090909090909</v>
      </c>
      <c r="W169" s="7">
        <v>166.666666666667</v>
      </c>
      <c r="X169" s="5">
        <v>42655</v>
      </c>
      <c r="Y169" s="11">
        <v>0</v>
      </c>
      <c r="Z169" s="11">
        <v>754.89929643385562</v>
      </c>
      <c r="AA169" s="11">
        <v>0</v>
      </c>
      <c r="AB169" s="11">
        <v>1509.7985928677112</v>
      </c>
      <c r="AC169" s="11">
        <v>11323.489446507836</v>
      </c>
      <c r="AD169" s="11">
        <v>40009.662710994351</v>
      </c>
      <c r="AE169" s="11">
        <v>1509.7985928677112</v>
      </c>
      <c r="AF169" s="11">
        <v>0</v>
      </c>
      <c r="AG169" s="37">
        <f t="shared" si="163"/>
        <v>54352.749343237607</v>
      </c>
      <c r="AH169" s="29">
        <f>SUM(Z169:AF169)</f>
        <v>55107.648639671461</v>
      </c>
      <c r="AI169">
        <f>1*Z169</f>
        <v>754.89929643385562</v>
      </c>
      <c r="AJ169">
        <f>2*AA169</f>
        <v>0</v>
      </c>
      <c r="AK169">
        <f>3*AB169</f>
        <v>4529.3957786031333</v>
      </c>
      <c r="AL169">
        <f>4*AC169</f>
        <v>45293.957786031344</v>
      </c>
      <c r="AM169">
        <f>5*AD169</f>
        <v>200048.31355497177</v>
      </c>
      <c r="AN169">
        <f>6*(AE169+AF169)</f>
        <v>9058.7915572062666</v>
      </c>
      <c r="AO169" s="40">
        <f>SUM(AI169:AN169)/AH169</f>
        <v>4.7123287671232887</v>
      </c>
    </row>
    <row r="170" spans="1:41" x14ac:dyDescent="0.25">
      <c r="A170" s="34" t="s">
        <v>270</v>
      </c>
      <c r="B170" s="34" t="s">
        <v>355</v>
      </c>
      <c r="C170" s="4" t="s">
        <v>362</v>
      </c>
      <c r="D170" s="14">
        <v>42655</v>
      </c>
      <c r="E170" s="14"/>
      <c r="F170" s="4">
        <f t="shared" si="159"/>
        <v>10</v>
      </c>
      <c r="G170" s="4">
        <f t="shared" si="160"/>
        <v>12</v>
      </c>
      <c r="H170" s="4">
        <f t="shared" si="161"/>
        <v>2016</v>
      </c>
      <c r="I170" s="17">
        <v>0.5</v>
      </c>
      <c r="J170" s="4">
        <v>42.862699999999997</v>
      </c>
      <c r="K170" s="4">
        <v>69.861599999999996</v>
      </c>
      <c r="L170" s="4">
        <v>2</v>
      </c>
      <c r="M170" s="4" t="s">
        <v>32</v>
      </c>
      <c r="N170" s="4">
        <v>200</v>
      </c>
      <c r="O170" s="4">
        <v>252</v>
      </c>
      <c r="P170" s="4">
        <v>257</v>
      </c>
      <c r="Q170" s="4" t="s">
        <v>271</v>
      </c>
      <c r="R170" s="4">
        <v>0.44156000000000001</v>
      </c>
      <c r="S170" s="4">
        <v>111</v>
      </c>
      <c r="T170" s="4">
        <v>0.5</v>
      </c>
      <c r="U170" s="6">
        <v>6.96</v>
      </c>
      <c r="V170" s="6">
        <f t="shared" si="162"/>
        <v>15.801081081081081</v>
      </c>
      <c r="X170" s="5">
        <v>42655</v>
      </c>
      <c r="AG170" s="37"/>
    </row>
    <row r="171" spans="1:41" x14ac:dyDescent="0.25">
      <c r="A171" s="34" t="s">
        <v>272</v>
      </c>
      <c r="B171" s="34" t="s">
        <v>356</v>
      </c>
      <c r="C171" s="4" t="s">
        <v>362</v>
      </c>
      <c r="D171" s="14">
        <v>42749</v>
      </c>
      <c r="F171" s="4">
        <f t="shared" si="159"/>
        <v>1</v>
      </c>
      <c r="G171" s="4">
        <f t="shared" si="160"/>
        <v>14</v>
      </c>
      <c r="H171" s="4">
        <f t="shared" si="161"/>
        <v>2017</v>
      </c>
      <c r="I171" s="17">
        <v>0.5</v>
      </c>
      <c r="J171" s="4">
        <v>42.861699999999999</v>
      </c>
      <c r="K171" s="4">
        <v>69.863299999999995</v>
      </c>
      <c r="L171" s="4">
        <v>1</v>
      </c>
      <c r="M171" s="4" t="s">
        <v>32</v>
      </c>
      <c r="N171" s="4">
        <v>200</v>
      </c>
      <c r="O171" s="4">
        <v>255</v>
      </c>
      <c r="P171" s="4">
        <v>260</v>
      </c>
      <c r="R171" s="4">
        <v>0.44156000000000001</v>
      </c>
      <c r="S171" s="4">
        <v>113</v>
      </c>
      <c r="T171" s="4">
        <v>0.5</v>
      </c>
      <c r="U171" s="6">
        <v>2.3380000000000001</v>
      </c>
      <c r="V171" s="6">
        <f t="shared" si="162"/>
        <v>5.2760176991150445</v>
      </c>
      <c r="W171" s="7">
        <v>50</v>
      </c>
      <c r="X171" s="5">
        <v>42749</v>
      </c>
      <c r="Y171" s="11">
        <v>226.46978893015668</v>
      </c>
      <c r="Z171" s="11">
        <v>0</v>
      </c>
      <c r="AA171" s="11">
        <v>0</v>
      </c>
      <c r="AB171" s="11">
        <v>0</v>
      </c>
      <c r="AC171" s="11">
        <v>679.40936679047013</v>
      </c>
      <c r="AD171" s="11">
        <v>15626.415436180814</v>
      </c>
      <c r="AE171" s="11">
        <v>1811.7583114412535</v>
      </c>
      <c r="AF171" s="11">
        <v>1811.7583114412535</v>
      </c>
      <c r="AG171" s="37">
        <f t="shared" si="163"/>
        <v>19929.341425853789</v>
      </c>
      <c r="AH171" s="29">
        <f>SUM(Z171:AF171)</f>
        <v>19929.341425853789</v>
      </c>
      <c r="AI171">
        <f>1*Z171</f>
        <v>0</v>
      </c>
      <c r="AJ171">
        <f>2*AA171</f>
        <v>0</v>
      </c>
      <c r="AK171">
        <f>3*AB171</f>
        <v>0</v>
      </c>
      <c r="AL171">
        <f>4*AC171</f>
        <v>2717.6374671618805</v>
      </c>
      <c r="AM171">
        <f>5*AD171</f>
        <v>78132.077180904074</v>
      </c>
      <c r="AN171">
        <f>6*(AE171+AF171)</f>
        <v>21741.099737295041</v>
      </c>
      <c r="AO171" s="40">
        <f>SUM(AI171:AN171)/AH171</f>
        <v>5.1477272727272734</v>
      </c>
    </row>
    <row r="172" spans="1:41" x14ac:dyDescent="0.25">
      <c r="A172" s="34" t="s">
        <v>273</v>
      </c>
      <c r="B172" s="34" t="s">
        <v>356</v>
      </c>
      <c r="C172" s="4" t="s">
        <v>362</v>
      </c>
      <c r="D172" s="14">
        <v>42749</v>
      </c>
      <c r="E172" s="14"/>
      <c r="F172" s="4">
        <f t="shared" si="159"/>
        <v>1</v>
      </c>
      <c r="G172" s="4">
        <f t="shared" si="160"/>
        <v>14</v>
      </c>
      <c r="H172" s="4">
        <f t="shared" si="161"/>
        <v>2017</v>
      </c>
      <c r="I172" s="17">
        <v>0.5</v>
      </c>
      <c r="J172" s="4">
        <v>42.861699999999999</v>
      </c>
      <c r="K172" s="4">
        <v>69.863299999999995</v>
      </c>
      <c r="L172" s="4">
        <v>2</v>
      </c>
      <c r="M172" s="4" t="s">
        <v>32</v>
      </c>
      <c r="N172" s="4">
        <v>200</v>
      </c>
      <c r="O172" s="4">
        <v>255</v>
      </c>
      <c r="P172" s="4">
        <v>260</v>
      </c>
      <c r="R172" s="4">
        <v>0.44156000000000001</v>
      </c>
      <c r="S172" s="4">
        <v>113</v>
      </c>
      <c r="T172" s="4">
        <v>0.5</v>
      </c>
      <c r="U172" s="6">
        <v>1.990000000000002</v>
      </c>
      <c r="V172" s="6">
        <f t="shared" si="162"/>
        <v>4.490707964601774</v>
      </c>
      <c r="X172" s="5">
        <v>42749</v>
      </c>
      <c r="AG172" s="37"/>
    </row>
    <row r="173" spans="1:41" x14ac:dyDescent="0.25">
      <c r="A173" s="34" t="s">
        <v>274</v>
      </c>
      <c r="B173" s="34" t="s">
        <v>361</v>
      </c>
      <c r="C173" s="4" t="s">
        <v>362</v>
      </c>
      <c r="D173" s="14">
        <v>42800</v>
      </c>
      <c r="E173" s="14"/>
      <c r="F173" s="4">
        <f t="shared" si="159"/>
        <v>3</v>
      </c>
      <c r="G173" s="4">
        <f t="shared" si="160"/>
        <v>6</v>
      </c>
      <c r="H173" s="4">
        <f t="shared" si="161"/>
        <v>2017</v>
      </c>
      <c r="I173" s="17">
        <v>0.54166666666666663</v>
      </c>
      <c r="J173" s="4">
        <v>42.861699999999999</v>
      </c>
      <c r="K173" s="4">
        <v>69.863299999999995</v>
      </c>
      <c r="L173" s="4">
        <v>1</v>
      </c>
      <c r="M173" s="4" t="s">
        <v>32</v>
      </c>
      <c r="N173" s="4">
        <v>200</v>
      </c>
      <c r="O173" s="4">
        <v>253</v>
      </c>
      <c r="P173" s="4">
        <v>258</v>
      </c>
      <c r="R173" s="4">
        <v>0.44156000000000001</v>
      </c>
      <c r="S173" s="4">
        <v>112</v>
      </c>
      <c r="T173" s="4">
        <v>0.5</v>
      </c>
      <c r="U173" s="6">
        <v>1.476</v>
      </c>
      <c r="V173" s="6">
        <f t="shared" si="162"/>
        <v>3.3341785714285712</v>
      </c>
      <c r="X173" s="5">
        <v>42800</v>
      </c>
      <c r="AG173" s="37"/>
    </row>
    <row r="174" spans="1:41" x14ac:dyDescent="0.25">
      <c r="A174" s="34" t="s">
        <v>275</v>
      </c>
      <c r="B174" s="34" t="s">
        <v>361</v>
      </c>
      <c r="C174" s="4" t="s">
        <v>362</v>
      </c>
      <c r="D174" s="14">
        <v>42800</v>
      </c>
      <c r="F174" s="4">
        <f t="shared" si="159"/>
        <v>3</v>
      </c>
      <c r="G174" s="4">
        <f t="shared" si="160"/>
        <v>6</v>
      </c>
      <c r="H174" s="4">
        <f t="shared" si="161"/>
        <v>2017</v>
      </c>
      <c r="I174" s="17">
        <v>0.54166666666666663</v>
      </c>
      <c r="J174" s="4">
        <v>42.861699999999999</v>
      </c>
      <c r="K174" s="4">
        <v>69.863299999999995</v>
      </c>
      <c r="L174" s="4">
        <v>2</v>
      </c>
      <c r="M174" s="4" t="s">
        <v>32</v>
      </c>
      <c r="N174" s="4">
        <v>200</v>
      </c>
      <c r="O174" s="4">
        <v>252</v>
      </c>
      <c r="P174" s="4">
        <v>257</v>
      </c>
      <c r="R174" s="4">
        <v>0.44156000000000001</v>
      </c>
      <c r="S174" s="4">
        <v>111</v>
      </c>
      <c r="T174" s="4">
        <v>0.5</v>
      </c>
      <c r="U174" s="6">
        <v>1.1220000000000001</v>
      </c>
      <c r="V174" s="6">
        <f t="shared" si="162"/>
        <v>2.5472432432432432</v>
      </c>
      <c r="W174" s="7">
        <v>50</v>
      </c>
      <c r="X174" s="5">
        <v>42800</v>
      </c>
      <c r="Y174" s="11">
        <v>12002.898813298305</v>
      </c>
      <c r="Z174" s="11">
        <v>4755.8655675332902</v>
      </c>
      <c r="AA174" s="11">
        <v>905.87915572062684</v>
      </c>
      <c r="AB174" s="11">
        <v>452.93957786031342</v>
      </c>
      <c r="AC174" s="11">
        <v>0</v>
      </c>
      <c r="AD174" s="11">
        <v>679.40936679047002</v>
      </c>
      <c r="AE174" s="11">
        <v>2491.167678231724</v>
      </c>
      <c r="AF174" s="11">
        <v>226.46978893015671</v>
      </c>
      <c r="AG174" s="37">
        <f t="shared" si="163"/>
        <v>3849.9864118126643</v>
      </c>
      <c r="AH174" s="29">
        <f>SUM(Z174:AF174)</f>
        <v>9511.7311350665805</v>
      </c>
      <c r="AI174">
        <f>1*Z174</f>
        <v>4755.8655675332902</v>
      </c>
      <c r="AJ174">
        <f>2*AA174</f>
        <v>1811.7583114412537</v>
      </c>
      <c r="AK174">
        <f>3*AB174</f>
        <v>1358.8187335809403</v>
      </c>
      <c r="AL174">
        <f>4*AC174</f>
        <v>0</v>
      </c>
      <c r="AM174">
        <f>5*AD174</f>
        <v>3397.04683395235</v>
      </c>
      <c r="AN174">
        <f>6*(AE174+AF174)</f>
        <v>16305.824802971283</v>
      </c>
      <c r="AO174" s="40">
        <f>SUM(AI174:AN174)/AH174</f>
        <v>2.9047619047619051</v>
      </c>
    </row>
    <row r="175" spans="1:41" x14ac:dyDescent="0.25">
      <c r="A175" s="34" t="s">
        <v>276</v>
      </c>
      <c r="B175" s="34" t="s">
        <v>360</v>
      </c>
      <c r="C175" s="4" t="s">
        <v>362</v>
      </c>
      <c r="D175" s="14">
        <v>42839</v>
      </c>
      <c r="E175" s="14"/>
      <c r="F175" s="4">
        <f t="shared" si="159"/>
        <v>4</v>
      </c>
      <c r="G175" s="4">
        <f t="shared" si="160"/>
        <v>14</v>
      </c>
      <c r="H175" s="4">
        <f t="shared" si="161"/>
        <v>2017</v>
      </c>
      <c r="I175" s="17">
        <v>0.57291666666666663</v>
      </c>
      <c r="J175" s="4">
        <v>42.8613</v>
      </c>
      <c r="K175" s="4">
        <v>-69.8613</v>
      </c>
      <c r="L175" s="4">
        <v>1</v>
      </c>
      <c r="M175" s="4" t="s">
        <v>32</v>
      </c>
      <c r="N175" s="4">
        <v>200</v>
      </c>
      <c r="O175" s="4">
        <v>254</v>
      </c>
      <c r="P175" s="4">
        <v>259</v>
      </c>
      <c r="R175" s="4">
        <v>0.44156000000000001</v>
      </c>
      <c r="S175" s="4">
        <v>112</v>
      </c>
      <c r="T175" s="4">
        <v>0.5</v>
      </c>
      <c r="U175" s="6">
        <v>0.78199999999999603</v>
      </c>
      <c r="V175" s="6">
        <f t="shared" si="162"/>
        <v>1.7734642857142766</v>
      </c>
      <c r="X175" s="5">
        <v>42839</v>
      </c>
      <c r="AG175" s="37"/>
    </row>
    <row r="176" spans="1:41" x14ac:dyDescent="0.25">
      <c r="A176" s="34" t="s">
        <v>277</v>
      </c>
      <c r="B176" s="34" t="s">
        <v>360</v>
      </c>
      <c r="C176" s="4" t="s">
        <v>362</v>
      </c>
      <c r="D176" s="14">
        <v>42839</v>
      </c>
      <c r="F176" s="4">
        <f t="shared" si="159"/>
        <v>4</v>
      </c>
      <c r="G176" s="4">
        <f t="shared" si="160"/>
        <v>14</v>
      </c>
      <c r="H176" s="4">
        <f t="shared" si="161"/>
        <v>2017</v>
      </c>
      <c r="I176" s="17">
        <v>0.56944444444444442</v>
      </c>
      <c r="J176" s="4">
        <v>42.8613</v>
      </c>
      <c r="K176" s="4">
        <v>-69.8613</v>
      </c>
      <c r="L176" s="4">
        <v>2</v>
      </c>
      <c r="M176" s="4" t="s">
        <v>32</v>
      </c>
      <c r="N176" s="4">
        <v>200</v>
      </c>
      <c r="O176" s="4">
        <v>254</v>
      </c>
      <c r="P176" s="4">
        <v>259</v>
      </c>
      <c r="R176" s="4">
        <v>0.44156000000000001</v>
      </c>
      <c r="S176" s="4">
        <v>112</v>
      </c>
      <c r="T176" s="4">
        <v>0.5</v>
      </c>
      <c r="U176" s="6">
        <v>0.72800000000000198</v>
      </c>
      <c r="V176" s="6">
        <f t="shared" si="162"/>
        <v>1.6510000000000045</v>
      </c>
      <c r="W176" s="7">
        <v>160</v>
      </c>
      <c r="X176" s="5">
        <v>42839</v>
      </c>
      <c r="Y176" s="11">
        <v>115227.82860766373</v>
      </c>
      <c r="Z176" s="11">
        <v>8696.4398949180177</v>
      </c>
      <c r="AA176" s="11">
        <v>3623.5166228825078</v>
      </c>
      <c r="AB176" s="11">
        <v>2898.8132983060059</v>
      </c>
      <c r="AC176" s="11">
        <v>724.70332457650147</v>
      </c>
      <c r="AD176" s="11">
        <v>724.70332457650147</v>
      </c>
      <c r="AE176" s="11">
        <v>724.70332457650147</v>
      </c>
      <c r="AF176" s="11">
        <v>0</v>
      </c>
      <c r="AG176" s="37">
        <f t="shared" si="163"/>
        <v>5072.9232720355103</v>
      </c>
      <c r="AH176" s="29">
        <f>SUM(Z176:AF176)</f>
        <v>17392.879789836035</v>
      </c>
      <c r="AI176">
        <f>1*Z176</f>
        <v>8696.4398949180177</v>
      </c>
      <c r="AJ176">
        <f>2*AA176</f>
        <v>7247.0332457650156</v>
      </c>
      <c r="AK176">
        <f>3*AB176</f>
        <v>8696.4398949180177</v>
      </c>
      <c r="AL176">
        <f>4*AC176</f>
        <v>2898.8132983060059</v>
      </c>
      <c r="AM176">
        <f>5*AD176</f>
        <v>3623.5166228825074</v>
      </c>
      <c r="AN176">
        <f>6*(AE176+AF176)</f>
        <v>4348.2199474590088</v>
      </c>
      <c r="AO176" s="40">
        <f>SUM(AI176:AN176)/AH176</f>
        <v>2.041666666666667</v>
      </c>
    </row>
    <row r="177" spans="1:41" x14ac:dyDescent="0.25">
      <c r="A177" s="34" t="s">
        <v>278</v>
      </c>
      <c r="B177" s="34" t="s">
        <v>359</v>
      </c>
      <c r="C177" s="4" t="s">
        <v>362</v>
      </c>
      <c r="D177" s="14">
        <v>42871</v>
      </c>
      <c r="E177" s="14"/>
      <c r="F177" s="4">
        <f t="shared" si="159"/>
        <v>5</v>
      </c>
      <c r="G177" s="4">
        <f t="shared" si="160"/>
        <v>16</v>
      </c>
      <c r="H177" s="4">
        <f t="shared" si="161"/>
        <v>2017</v>
      </c>
      <c r="I177" s="17">
        <v>0.54166666666666663</v>
      </c>
      <c r="J177" s="4">
        <v>42.861699999999999</v>
      </c>
      <c r="K177" s="4">
        <v>69.863299999999995</v>
      </c>
      <c r="L177" s="4">
        <v>1</v>
      </c>
      <c r="M177" s="4" t="s">
        <v>32</v>
      </c>
      <c r="N177" s="4">
        <v>200</v>
      </c>
      <c r="O177" s="4">
        <v>260</v>
      </c>
      <c r="P177" s="4">
        <v>260</v>
      </c>
      <c r="Q177" s="4" t="s">
        <v>279</v>
      </c>
      <c r="R177" s="4">
        <v>0.44156000000000001</v>
      </c>
      <c r="S177" s="4">
        <v>115</v>
      </c>
      <c r="T177" s="4">
        <v>0.5</v>
      </c>
      <c r="U177" s="6">
        <v>8.7520000000000007</v>
      </c>
      <c r="V177" s="6">
        <f t="shared" si="162"/>
        <v>19.787130434782611</v>
      </c>
      <c r="X177" s="5">
        <v>42871</v>
      </c>
      <c r="AG177" s="37"/>
    </row>
    <row r="178" spans="1:41" x14ac:dyDescent="0.25">
      <c r="A178" s="34" t="s">
        <v>280</v>
      </c>
      <c r="B178" s="34" t="s">
        <v>359</v>
      </c>
      <c r="C178" s="4" t="s">
        <v>362</v>
      </c>
      <c r="D178" s="14">
        <v>42871</v>
      </c>
      <c r="F178" s="4">
        <f t="shared" si="159"/>
        <v>5</v>
      </c>
      <c r="G178" s="4">
        <f t="shared" si="160"/>
        <v>16</v>
      </c>
      <c r="H178" s="4">
        <f t="shared" si="161"/>
        <v>2017</v>
      </c>
      <c r="I178" s="17">
        <v>0.54166666666666663</v>
      </c>
      <c r="J178" s="4">
        <v>42.861699999999999</v>
      </c>
      <c r="K178" s="4">
        <v>69.863299999999995</v>
      </c>
      <c r="L178" s="4">
        <v>2</v>
      </c>
      <c r="M178" s="4" t="s">
        <v>32</v>
      </c>
      <c r="N178" s="4">
        <v>200</v>
      </c>
      <c r="O178" s="4">
        <v>255</v>
      </c>
      <c r="P178" s="4">
        <v>259</v>
      </c>
      <c r="R178" s="4">
        <v>0.44156000000000001</v>
      </c>
      <c r="S178" s="4">
        <v>113</v>
      </c>
      <c r="T178" s="4">
        <v>0.5</v>
      </c>
      <c r="U178" s="6">
        <v>8.3320000000000007</v>
      </c>
      <c r="V178" s="6">
        <f t="shared" si="162"/>
        <v>18.802300884955756</v>
      </c>
      <c r="W178" s="7">
        <v>500</v>
      </c>
      <c r="X178" s="5">
        <v>42871</v>
      </c>
      <c r="Y178" s="11">
        <v>72470.332457650147</v>
      </c>
      <c r="Z178" s="11">
        <v>58882.145121840746</v>
      </c>
      <c r="AA178" s="11">
        <v>18117.583114412537</v>
      </c>
      <c r="AB178" s="11">
        <v>38499.864118126636</v>
      </c>
      <c r="AC178" s="11">
        <v>56617.447232539176</v>
      </c>
      <c r="AD178" s="11">
        <v>38499.864118126636</v>
      </c>
      <c r="AE178" s="11">
        <v>2264.6978893015671</v>
      </c>
      <c r="AF178" s="11">
        <v>2264.6978893015671</v>
      </c>
      <c r="AG178" s="37">
        <f t="shared" si="163"/>
        <v>138146.57124739559</v>
      </c>
      <c r="AH178" s="29">
        <f t="shared" ref="AH178:AH179" si="196">SUM(Z178:AF178)</f>
        <v>215146.29948364888</v>
      </c>
      <c r="AI178">
        <f t="shared" ref="AI178:AI179" si="197">1*Z178</f>
        <v>58882.145121840746</v>
      </c>
      <c r="AJ178">
        <f t="shared" ref="AJ178:AJ179" si="198">2*AA178</f>
        <v>36235.166228825074</v>
      </c>
      <c r="AK178">
        <f t="shared" ref="AK178:AK179" si="199">3*AB178</f>
        <v>115499.59235437991</v>
      </c>
      <c r="AL178">
        <f t="shared" ref="AL178:AL179" si="200">4*AC178</f>
        <v>226469.7889301567</v>
      </c>
      <c r="AM178">
        <f t="shared" ref="AM178:AM179" si="201">5*AD178</f>
        <v>192499.32059063317</v>
      </c>
      <c r="AN178">
        <f t="shared" ref="AN178:AN179" si="202">6*(AE178+AF178)</f>
        <v>27176.374671618803</v>
      </c>
      <c r="AO178" s="40">
        <f t="shared" ref="AO178:AO179" si="203">SUM(AI178:AN178)/AH178</f>
        <v>3.0526315789473681</v>
      </c>
    </row>
    <row r="179" spans="1:41" x14ac:dyDescent="0.25">
      <c r="A179" s="34" t="s">
        <v>281</v>
      </c>
      <c r="B179" s="34" t="s">
        <v>358</v>
      </c>
      <c r="C179" s="4" t="s">
        <v>362</v>
      </c>
      <c r="D179" s="14">
        <v>42901</v>
      </c>
      <c r="F179" s="4">
        <f t="shared" si="159"/>
        <v>6</v>
      </c>
      <c r="G179" s="4">
        <f t="shared" si="160"/>
        <v>15</v>
      </c>
      <c r="H179" s="4">
        <f t="shared" si="161"/>
        <v>2017</v>
      </c>
      <c r="I179" s="17">
        <v>0.53125</v>
      </c>
      <c r="J179" s="4">
        <v>42.861699999999999</v>
      </c>
      <c r="K179" s="4">
        <v>69.863299999999995</v>
      </c>
      <c r="L179" s="4">
        <v>1</v>
      </c>
      <c r="M179" s="4" t="s">
        <v>32</v>
      </c>
      <c r="N179" s="4">
        <v>200</v>
      </c>
      <c r="O179" s="4">
        <v>254</v>
      </c>
      <c r="P179" s="4">
        <v>259</v>
      </c>
      <c r="R179" s="4">
        <v>0.44156000000000001</v>
      </c>
      <c r="S179" s="4">
        <v>112</v>
      </c>
      <c r="T179" s="4">
        <v>0.5</v>
      </c>
      <c r="U179" s="6">
        <v>7.6920000000000002</v>
      </c>
      <c r="V179" s="6">
        <f t="shared" si="162"/>
        <v>17.444357142857143</v>
      </c>
      <c r="W179" s="7">
        <v>133.333333333333</v>
      </c>
      <c r="X179" s="5">
        <v>42901</v>
      </c>
      <c r="Y179" s="11">
        <v>0</v>
      </c>
      <c r="Z179" s="11">
        <v>603.91943714708464</v>
      </c>
      <c r="AA179" s="11">
        <v>0</v>
      </c>
      <c r="AB179" s="11">
        <v>3019.5971857354234</v>
      </c>
      <c r="AC179" s="11">
        <v>42274.36060029592</v>
      </c>
      <c r="AD179" s="11">
        <v>54352.749343237614</v>
      </c>
      <c r="AE179" s="11">
        <v>1811.7583114412539</v>
      </c>
      <c r="AF179" s="11">
        <v>603.91943714708464</v>
      </c>
      <c r="AG179" s="37">
        <f t="shared" si="163"/>
        <v>102062.3848778573</v>
      </c>
      <c r="AH179" s="29">
        <f t="shared" si="196"/>
        <v>102666.30431500438</v>
      </c>
      <c r="AI179">
        <f t="shared" si="197"/>
        <v>603.91943714708464</v>
      </c>
      <c r="AJ179">
        <f t="shared" si="198"/>
        <v>0</v>
      </c>
      <c r="AK179">
        <f t="shared" si="199"/>
        <v>9058.7915572062702</v>
      </c>
      <c r="AL179">
        <f t="shared" si="200"/>
        <v>169097.44240118368</v>
      </c>
      <c r="AM179">
        <f t="shared" si="201"/>
        <v>271763.74671618809</v>
      </c>
      <c r="AN179">
        <f t="shared" si="202"/>
        <v>14494.066491530031</v>
      </c>
      <c r="AO179" s="40">
        <f t="shared" si="203"/>
        <v>4.5294117647058822</v>
      </c>
    </row>
    <row r="180" spans="1:41" x14ac:dyDescent="0.25">
      <c r="A180" s="34" t="s">
        <v>282</v>
      </c>
      <c r="B180" s="34" t="s">
        <v>358</v>
      </c>
      <c r="C180" s="4" t="s">
        <v>362</v>
      </c>
      <c r="D180" s="14">
        <v>42901</v>
      </c>
      <c r="E180" s="14"/>
      <c r="F180" s="4">
        <f t="shared" si="159"/>
        <v>6</v>
      </c>
      <c r="G180" s="4">
        <f t="shared" si="160"/>
        <v>15</v>
      </c>
      <c r="H180" s="4">
        <f t="shared" si="161"/>
        <v>2017</v>
      </c>
      <c r="I180" s="17">
        <v>0.54166666666666663</v>
      </c>
      <c r="J180" s="4">
        <v>42.861699999999999</v>
      </c>
      <c r="K180" s="4">
        <v>69.863299999999995</v>
      </c>
      <c r="L180" s="4">
        <v>2</v>
      </c>
      <c r="M180" s="4" t="s">
        <v>32</v>
      </c>
      <c r="N180" s="4">
        <v>200</v>
      </c>
      <c r="O180" s="4">
        <v>255</v>
      </c>
      <c r="P180" s="4">
        <v>260</v>
      </c>
      <c r="R180" s="4">
        <v>0.44156000000000001</v>
      </c>
      <c r="S180" s="4">
        <v>113</v>
      </c>
      <c r="T180" s="4">
        <v>0.5</v>
      </c>
      <c r="U180" s="6">
        <v>6.9619999999999997</v>
      </c>
      <c r="V180" s="6">
        <f t="shared" si="162"/>
        <v>15.710707964601768</v>
      </c>
      <c r="X180" s="5">
        <v>42901</v>
      </c>
      <c r="AG180" s="37"/>
    </row>
    <row r="181" spans="1:41" x14ac:dyDescent="0.25">
      <c r="A181" s="34" t="s">
        <v>283</v>
      </c>
      <c r="B181" s="34" t="s">
        <v>357</v>
      </c>
      <c r="C181" s="4" t="s">
        <v>362</v>
      </c>
      <c r="D181" s="14">
        <v>42935</v>
      </c>
      <c r="F181" s="4">
        <f t="shared" si="159"/>
        <v>7</v>
      </c>
      <c r="G181" s="4">
        <f t="shared" si="160"/>
        <v>19</v>
      </c>
      <c r="H181" s="4">
        <f t="shared" si="161"/>
        <v>2017</v>
      </c>
      <c r="I181" s="17">
        <v>0.52083333333333337</v>
      </c>
      <c r="J181" s="4">
        <v>42.861699999999999</v>
      </c>
      <c r="K181" s="4">
        <v>69.863299999999995</v>
      </c>
      <c r="L181" s="4">
        <v>1</v>
      </c>
      <c r="M181" s="4" t="s">
        <v>32</v>
      </c>
      <c r="N181" s="4">
        <v>200</v>
      </c>
      <c r="O181" s="4">
        <v>254</v>
      </c>
      <c r="P181" s="4">
        <v>259</v>
      </c>
      <c r="R181" s="4">
        <v>0.44156000000000001</v>
      </c>
      <c r="S181" s="4">
        <v>112</v>
      </c>
      <c r="T181" s="4">
        <v>0.5</v>
      </c>
      <c r="U181" s="6">
        <v>4.4139999999999997</v>
      </c>
      <c r="V181" s="6">
        <f t="shared" si="162"/>
        <v>10.010321428571428</v>
      </c>
      <c r="W181" s="7">
        <v>133.333333333333</v>
      </c>
      <c r="X181" s="5">
        <v>42935</v>
      </c>
      <c r="Y181" s="11">
        <v>4227.4360600295922</v>
      </c>
      <c r="Z181" s="11">
        <v>8454.8721200591845</v>
      </c>
      <c r="AA181" s="11">
        <v>7247.0332457650156</v>
      </c>
      <c r="AB181" s="11">
        <v>15097.985928677115</v>
      </c>
      <c r="AC181" s="11">
        <v>18721.502551559624</v>
      </c>
      <c r="AD181" s="11">
        <v>8454.8721200591845</v>
      </c>
      <c r="AE181" s="11">
        <v>1207.8388742941693</v>
      </c>
      <c r="AF181" s="11">
        <v>0</v>
      </c>
      <c r="AG181" s="37">
        <f t="shared" si="163"/>
        <v>43482.199474590088</v>
      </c>
      <c r="AH181" s="29">
        <f>SUM(Z181:AF181)</f>
        <v>59184.104840414286</v>
      </c>
      <c r="AI181">
        <f>1*Z181</f>
        <v>8454.8721200591845</v>
      </c>
      <c r="AJ181">
        <f>2*AA181</f>
        <v>14494.066491530031</v>
      </c>
      <c r="AK181">
        <f>3*AB181</f>
        <v>45293.957786031344</v>
      </c>
      <c r="AL181">
        <f>4*AC181</f>
        <v>74886.010206238498</v>
      </c>
      <c r="AM181">
        <f>5*AD181</f>
        <v>42274.36060029592</v>
      </c>
      <c r="AN181">
        <f>6*(AE181+AF181)</f>
        <v>7247.0332457650156</v>
      </c>
      <c r="AO181" s="40">
        <f>SUM(AI181:AN181)/AH181</f>
        <v>3.2551020408163267</v>
      </c>
    </row>
    <row r="182" spans="1:41" x14ac:dyDescent="0.25">
      <c r="A182" s="34" t="s">
        <v>284</v>
      </c>
      <c r="B182" s="34" t="s">
        <v>357</v>
      </c>
      <c r="C182" s="4" t="s">
        <v>362</v>
      </c>
      <c r="D182" s="14">
        <v>42935</v>
      </c>
      <c r="E182" s="14"/>
      <c r="F182" s="4">
        <f t="shared" si="159"/>
        <v>7</v>
      </c>
      <c r="G182" s="4">
        <f t="shared" si="160"/>
        <v>19</v>
      </c>
      <c r="H182" s="4">
        <f t="shared" si="161"/>
        <v>2017</v>
      </c>
      <c r="I182" s="17">
        <v>0.53125</v>
      </c>
      <c r="J182" s="4">
        <v>42.861699999999999</v>
      </c>
      <c r="K182" s="4">
        <v>69.863299999999995</v>
      </c>
      <c r="L182" s="4">
        <v>2</v>
      </c>
      <c r="M182" s="4" t="s">
        <v>32</v>
      </c>
      <c r="N182" s="4">
        <v>200</v>
      </c>
      <c r="O182" s="4">
        <v>254</v>
      </c>
      <c r="P182" s="4">
        <v>259</v>
      </c>
      <c r="R182" s="4">
        <v>0.44156000000000001</v>
      </c>
      <c r="S182" s="7">
        <f>O182*R182</f>
        <v>112.15624</v>
      </c>
      <c r="T182" s="4">
        <v>0.5</v>
      </c>
      <c r="U182" s="6">
        <v>4.7679999999999998</v>
      </c>
      <c r="V182" s="6">
        <f t="shared" si="162"/>
        <v>10.798079536189872</v>
      </c>
      <c r="X182" s="5">
        <v>42935</v>
      </c>
      <c r="AG182" s="37"/>
    </row>
    <row r="183" spans="1:41" x14ac:dyDescent="0.25">
      <c r="A183" s="1" t="s">
        <v>285</v>
      </c>
      <c r="B183" s="1" t="s">
        <v>285</v>
      </c>
      <c r="C183" s="4" t="s">
        <v>362</v>
      </c>
      <c r="D183" s="31">
        <v>43834</v>
      </c>
      <c r="E183" s="31"/>
      <c r="F183" s="4">
        <f t="shared" si="159"/>
        <v>1</v>
      </c>
      <c r="G183" s="4">
        <f t="shared" si="160"/>
        <v>4</v>
      </c>
      <c r="H183" s="4">
        <f t="shared" si="161"/>
        <v>2020</v>
      </c>
      <c r="I183" s="24">
        <v>0.42708333333333331</v>
      </c>
      <c r="J183" s="4">
        <v>42.86</v>
      </c>
      <c r="K183" s="4">
        <v>69.866</v>
      </c>
      <c r="L183" s="25" t="s">
        <v>152</v>
      </c>
      <c r="M183" s="4" t="s">
        <v>32</v>
      </c>
      <c r="N183" s="4">
        <v>200</v>
      </c>
      <c r="O183" s="1">
        <v>252</v>
      </c>
      <c r="P183" s="1">
        <v>257</v>
      </c>
      <c r="Q183" s="4" t="s">
        <v>286</v>
      </c>
      <c r="R183" s="4">
        <v>0.44180000000000003</v>
      </c>
      <c r="S183" s="7">
        <f>O183*R183</f>
        <v>111.3336</v>
      </c>
      <c r="T183" s="4">
        <v>0.5</v>
      </c>
      <c r="U183" s="6">
        <v>3.4879999999999995</v>
      </c>
      <c r="V183" s="6">
        <f t="shared" si="162"/>
        <v>7.8949751018560423</v>
      </c>
      <c r="W183" s="26"/>
      <c r="X183" s="23">
        <v>43834</v>
      </c>
      <c r="AG183" s="37"/>
    </row>
    <row r="184" spans="1:41" x14ac:dyDescent="0.25">
      <c r="A184" s="1" t="s">
        <v>285</v>
      </c>
      <c r="B184" s="1" t="s">
        <v>285</v>
      </c>
      <c r="C184" s="4" t="s">
        <v>362</v>
      </c>
      <c r="D184" s="31">
        <v>43834</v>
      </c>
      <c r="E184" s="1"/>
      <c r="F184" s="4">
        <f t="shared" si="159"/>
        <v>1</v>
      </c>
      <c r="G184" s="4">
        <f t="shared" si="160"/>
        <v>4</v>
      </c>
      <c r="H184" s="4">
        <f t="shared" si="161"/>
        <v>2020</v>
      </c>
      <c r="I184" s="24">
        <v>0.42708333333333331</v>
      </c>
      <c r="J184" s="4">
        <v>42.86</v>
      </c>
      <c r="K184" s="4">
        <v>69.866</v>
      </c>
      <c r="L184" s="25" t="s">
        <v>287</v>
      </c>
      <c r="M184" s="4" t="s">
        <v>32</v>
      </c>
      <c r="N184" s="4">
        <v>200</v>
      </c>
      <c r="O184" s="1">
        <v>252</v>
      </c>
      <c r="P184" s="1">
        <v>257</v>
      </c>
      <c r="Q184" s="4" t="s">
        <v>288</v>
      </c>
      <c r="R184" s="4">
        <v>0.44180000000000003</v>
      </c>
      <c r="S184" s="7">
        <f>O184*R184</f>
        <v>111.3336</v>
      </c>
      <c r="T184" s="4">
        <v>0.5</v>
      </c>
      <c r="U184" s="6">
        <v>4.4959999999999987</v>
      </c>
      <c r="V184" s="6">
        <f t="shared" si="162"/>
        <v>10.176550475328199</v>
      </c>
      <c r="W184" s="26">
        <f>(72+54)/2</f>
        <v>63</v>
      </c>
      <c r="X184" s="23">
        <v>43834</v>
      </c>
      <c r="Y184" s="7" t="s">
        <v>289</v>
      </c>
      <c r="Z184" s="7">
        <v>0</v>
      </c>
      <c r="AA184" s="7">
        <v>0</v>
      </c>
      <c r="AB184" s="7">
        <v>0</v>
      </c>
      <c r="AC184" s="7">
        <v>777</v>
      </c>
      <c r="AD184" s="7">
        <v>29442</v>
      </c>
      <c r="AE184" s="7">
        <v>3646</v>
      </c>
      <c r="AF184" s="7">
        <v>3563</v>
      </c>
      <c r="AG184" s="37">
        <f t="shared" si="163"/>
        <v>37428</v>
      </c>
      <c r="AH184" s="29">
        <f t="shared" ref="AH184:AH187" si="204">SUM(Z184:AF184)</f>
        <v>37428</v>
      </c>
      <c r="AI184">
        <f t="shared" ref="AI184:AI187" si="205">1*Z184</f>
        <v>0</v>
      </c>
      <c r="AJ184">
        <f t="shared" ref="AJ184:AJ187" si="206">2*AA184</f>
        <v>0</v>
      </c>
      <c r="AK184">
        <f t="shared" ref="AK184:AK187" si="207">3*AB184</f>
        <v>0</v>
      </c>
      <c r="AL184">
        <f t="shared" ref="AL184:AL187" si="208">4*AC184</f>
        <v>3108</v>
      </c>
      <c r="AM184">
        <f t="shared" ref="AM184:AM187" si="209">5*AD184</f>
        <v>147210</v>
      </c>
      <c r="AN184">
        <f t="shared" ref="AN184:AN187" si="210">6*(AE184+AF184)</f>
        <v>43254</v>
      </c>
      <c r="AO184" s="40">
        <f t="shared" ref="AO184:AO187" si="211">SUM(AI184:AN184)/AH184</f>
        <v>5.1718499519076628</v>
      </c>
    </row>
    <row r="185" spans="1:41" x14ac:dyDescent="0.25">
      <c r="A185" s="4" t="s">
        <v>290</v>
      </c>
      <c r="B185" s="4" t="s">
        <v>290</v>
      </c>
      <c r="C185" s="4" t="s">
        <v>362</v>
      </c>
      <c r="D185" s="14">
        <v>44008</v>
      </c>
      <c r="F185" s="4">
        <f t="shared" si="159"/>
        <v>6</v>
      </c>
      <c r="G185" s="4">
        <f t="shared" si="160"/>
        <v>26</v>
      </c>
      <c r="H185" s="4">
        <f t="shared" si="161"/>
        <v>2020</v>
      </c>
      <c r="I185" s="24">
        <v>0.52777777777777779</v>
      </c>
      <c r="J185" s="4">
        <v>42.862000000000002</v>
      </c>
      <c r="K185" s="4">
        <v>69.864000000000004</v>
      </c>
      <c r="L185" s="28" t="s">
        <v>152</v>
      </c>
      <c r="M185" s="4" t="s">
        <v>32</v>
      </c>
      <c r="N185" s="4">
        <v>200</v>
      </c>
      <c r="O185" s="7">
        <v>254</v>
      </c>
      <c r="P185" s="7">
        <v>259</v>
      </c>
      <c r="R185" s="4">
        <v>0.44180000000000003</v>
      </c>
      <c r="S185" s="7">
        <f t="shared" ref="S185:S211" si="212">O185*R185</f>
        <v>112.21720000000001</v>
      </c>
      <c r="T185" s="4">
        <v>0.5</v>
      </c>
      <c r="W185" s="26">
        <v>108.69565217391305</v>
      </c>
      <c r="X185" s="27">
        <v>44008</v>
      </c>
      <c r="Y185" s="7" t="s">
        <v>289</v>
      </c>
      <c r="Z185" s="7">
        <v>4921</v>
      </c>
      <c r="AA185" s="7">
        <v>13778</v>
      </c>
      <c r="AB185" s="7">
        <v>3936</v>
      </c>
      <c r="AC185" s="7">
        <v>4921</v>
      </c>
      <c r="AD185" s="7">
        <v>25095</v>
      </c>
      <c r="AE185" s="7">
        <v>492</v>
      </c>
      <c r="AF185" s="7">
        <v>492</v>
      </c>
      <c r="AG185" s="37">
        <f t="shared" si="163"/>
        <v>34936</v>
      </c>
      <c r="AH185" s="29">
        <f t="shared" si="204"/>
        <v>53635</v>
      </c>
      <c r="AI185">
        <f t="shared" si="205"/>
        <v>4921</v>
      </c>
      <c r="AJ185">
        <f t="shared" si="206"/>
        <v>27556</v>
      </c>
      <c r="AK185">
        <f t="shared" si="207"/>
        <v>11808</v>
      </c>
      <c r="AL185">
        <f t="shared" si="208"/>
        <v>19684</v>
      </c>
      <c r="AM185">
        <f t="shared" si="209"/>
        <v>125475</v>
      </c>
      <c r="AN185">
        <f t="shared" si="210"/>
        <v>5904</v>
      </c>
      <c r="AO185" s="40">
        <f t="shared" si="211"/>
        <v>3.642173953575091</v>
      </c>
    </row>
    <row r="186" spans="1:41" x14ac:dyDescent="0.25">
      <c r="A186" s="4" t="s">
        <v>291</v>
      </c>
      <c r="B186" s="4" t="s">
        <v>291</v>
      </c>
      <c r="C186" s="4" t="s">
        <v>362</v>
      </c>
      <c r="D186" s="14">
        <v>44034</v>
      </c>
      <c r="F186" s="4">
        <f t="shared" si="159"/>
        <v>7</v>
      </c>
      <c r="G186" s="4">
        <f t="shared" si="160"/>
        <v>22</v>
      </c>
      <c r="H186" s="4">
        <f t="shared" si="161"/>
        <v>2020</v>
      </c>
      <c r="I186" s="24">
        <v>0.52777777777777779</v>
      </c>
      <c r="J186" s="4">
        <v>42.862000000000002</v>
      </c>
      <c r="K186" s="4">
        <v>69.864000000000004</v>
      </c>
      <c r="L186" s="28" t="s">
        <v>152</v>
      </c>
      <c r="M186" s="4" t="s">
        <v>32</v>
      </c>
      <c r="N186" s="4">
        <v>200</v>
      </c>
      <c r="O186" s="4">
        <v>250</v>
      </c>
      <c r="P186" s="4">
        <v>259</v>
      </c>
      <c r="R186" s="4">
        <v>0.44180000000000003</v>
      </c>
      <c r="S186" s="7">
        <f t="shared" si="212"/>
        <v>110.45</v>
      </c>
      <c r="T186" s="4">
        <v>0.5</v>
      </c>
      <c r="U186" s="6">
        <v>5.5220000000000002</v>
      </c>
      <c r="V186" s="6">
        <f t="shared" ref="V186:V206" si="213">(U186/S186)*O186</f>
        <v>12.498868266183793</v>
      </c>
      <c r="W186" s="26">
        <v>92.642857142857139</v>
      </c>
      <c r="X186" s="27">
        <v>44034</v>
      </c>
      <c r="Y186" s="7" t="s">
        <v>289</v>
      </c>
      <c r="Z186" s="7">
        <v>0</v>
      </c>
      <c r="AA186" s="7">
        <v>1678</v>
      </c>
      <c r="AB186" s="7">
        <v>6291</v>
      </c>
      <c r="AC186" s="7">
        <v>6710</v>
      </c>
      <c r="AD186" s="7">
        <v>28938</v>
      </c>
      <c r="AE186" s="7">
        <v>419</v>
      </c>
      <c r="AF186" s="7">
        <v>0</v>
      </c>
      <c r="AG186" s="37">
        <f t="shared" si="163"/>
        <v>42358</v>
      </c>
      <c r="AH186" s="29">
        <f t="shared" si="204"/>
        <v>44036</v>
      </c>
      <c r="AI186">
        <f t="shared" si="205"/>
        <v>0</v>
      </c>
      <c r="AJ186">
        <f t="shared" si="206"/>
        <v>3356</v>
      </c>
      <c r="AK186">
        <f t="shared" si="207"/>
        <v>18873</v>
      </c>
      <c r="AL186">
        <f t="shared" si="208"/>
        <v>26840</v>
      </c>
      <c r="AM186">
        <f t="shared" si="209"/>
        <v>144690</v>
      </c>
      <c r="AN186">
        <f t="shared" si="210"/>
        <v>2514</v>
      </c>
      <c r="AO186" s="40">
        <f t="shared" si="211"/>
        <v>4.4571032791352527</v>
      </c>
    </row>
    <row r="187" spans="1:41" x14ac:dyDescent="0.25">
      <c r="A187" s="4" t="s">
        <v>292</v>
      </c>
      <c r="B187" s="4" t="s">
        <v>292</v>
      </c>
      <c r="C187" s="4" t="s">
        <v>362</v>
      </c>
      <c r="D187" s="14">
        <v>44056</v>
      </c>
      <c r="F187" s="4">
        <f t="shared" si="159"/>
        <v>8</v>
      </c>
      <c r="G187" s="4">
        <f t="shared" si="160"/>
        <v>13</v>
      </c>
      <c r="H187" s="4">
        <f t="shared" si="161"/>
        <v>2020</v>
      </c>
      <c r="I187" s="24">
        <v>0.51041666666666663</v>
      </c>
      <c r="J187" s="4">
        <v>42.862000000000002</v>
      </c>
      <c r="K187" s="4">
        <v>69.861999999999995</v>
      </c>
      <c r="L187" s="28" t="s">
        <v>194</v>
      </c>
      <c r="M187" s="4" t="s">
        <v>32</v>
      </c>
      <c r="N187" s="4">
        <v>200</v>
      </c>
      <c r="O187" s="4">
        <v>253</v>
      </c>
      <c r="P187" s="4">
        <v>259</v>
      </c>
      <c r="R187" s="4">
        <v>0.44180000000000003</v>
      </c>
      <c r="S187" s="7">
        <f t="shared" si="212"/>
        <v>111.7754</v>
      </c>
      <c r="T187" s="4">
        <v>0.5</v>
      </c>
      <c r="U187" s="6">
        <v>4.8140000000000001</v>
      </c>
      <c r="V187" s="6">
        <f t="shared" si="213"/>
        <v>10.896333182435491</v>
      </c>
      <c r="W187" s="26">
        <f>(104.6+56.9)/2</f>
        <v>80.75</v>
      </c>
      <c r="X187" s="27">
        <v>44056</v>
      </c>
      <c r="Y187" s="7" t="s">
        <v>289</v>
      </c>
      <c r="Z187" s="7">
        <v>0</v>
      </c>
      <c r="AA187" s="7">
        <v>0</v>
      </c>
      <c r="AB187" s="7">
        <v>2966</v>
      </c>
      <c r="AC187" s="7">
        <v>4963</v>
      </c>
      <c r="AD187" s="7">
        <v>22611</v>
      </c>
      <c r="AE187" s="7">
        <v>0</v>
      </c>
      <c r="AF187" s="7">
        <v>0</v>
      </c>
      <c r="AG187" s="37">
        <f t="shared" si="163"/>
        <v>30540</v>
      </c>
      <c r="AH187" s="29">
        <f t="shared" si="204"/>
        <v>30540</v>
      </c>
      <c r="AI187">
        <f t="shared" si="205"/>
        <v>0</v>
      </c>
      <c r="AJ187">
        <f t="shared" si="206"/>
        <v>0</v>
      </c>
      <c r="AK187">
        <f t="shared" si="207"/>
        <v>8898</v>
      </c>
      <c r="AL187">
        <f t="shared" si="208"/>
        <v>19852</v>
      </c>
      <c r="AM187">
        <f t="shared" si="209"/>
        <v>113055</v>
      </c>
      <c r="AN187">
        <f t="shared" si="210"/>
        <v>0</v>
      </c>
      <c r="AO187" s="40">
        <f t="shared" si="211"/>
        <v>4.6432547478716435</v>
      </c>
    </row>
    <row r="188" spans="1:41" x14ac:dyDescent="0.25">
      <c r="A188" s="4" t="s">
        <v>292</v>
      </c>
      <c r="B188" s="4" t="s">
        <v>292</v>
      </c>
      <c r="C188" s="4" t="s">
        <v>362</v>
      </c>
      <c r="D188" s="14">
        <v>44056</v>
      </c>
      <c r="E188" s="14"/>
      <c r="F188" s="4">
        <f t="shared" si="159"/>
        <v>8</v>
      </c>
      <c r="G188" s="4">
        <f t="shared" si="160"/>
        <v>13</v>
      </c>
      <c r="H188" s="4">
        <f t="shared" si="161"/>
        <v>2020</v>
      </c>
      <c r="I188" s="24">
        <v>0.54166666666666663</v>
      </c>
      <c r="J188" s="4">
        <v>42.862000000000002</v>
      </c>
      <c r="K188" s="4">
        <v>69.861999999999995</v>
      </c>
      <c r="L188" s="28" t="s">
        <v>155</v>
      </c>
      <c r="M188" s="4" t="s">
        <v>32</v>
      </c>
      <c r="N188" s="4">
        <v>200</v>
      </c>
      <c r="O188" s="4">
        <v>253</v>
      </c>
      <c r="P188" s="4">
        <v>257</v>
      </c>
      <c r="Q188" s="4" t="s">
        <v>293</v>
      </c>
      <c r="R188" s="4">
        <v>0.44180000000000003</v>
      </c>
      <c r="S188" s="7">
        <f t="shared" si="212"/>
        <v>111.7754</v>
      </c>
      <c r="T188" s="4">
        <v>0.5</v>
      </c>
      <c r="U188" s="6">
        <v>4.468</v>
      </c>
      <c r="V188" s="6">
        <f t="shared" si="213"/>
        <v>10.113173381620642</v>
      </c>
      <c r="W188" s="26"/>
      <c r="X188" s="27">
        <v>44056</v>
      </c>
      <c r="AG188" s="37"/>
    </row>
    <row r="189" spans="1:41" x14ac:dyDescent="0.25">
      <c r="A189" s="4" t="s">
        <v>294</v>
      </c>
      <c r="B189" s="4" t="s">
        <v>294</v>
      </c>
      <c r="C189" s="4" t="s">
        <v>362</v>
      </c>
      <c r="D189" s="14">
        <v>44143</v>
      </c>
      <c r="F189" s="4">
        <f t="shared" si="159"/>
        <v>11</v>
      </c>
      <c r="G189" s="4">
        <f t="shared" si="160"/>
        <v>8</v>
      </c>
      <c r="H189" s="4">
        <f t="shared" si="161"/>
        <v>2020</v>
      </c>
      <c r="I189" s="24">
        <v>0.52777777777777779</v>
      </c>
      <c r="J189" s="4">
        <v>42.862000000000002</v>
      </c>
      <c r="K189" s="4">
        <v>69.861999999999995</v>
      </c>
      <c r="L189" s="28" t="s">
        <v>152</v>
      </c>
      <c r="M189" s="4" t="s">
        <v>32</v>
      </c>
      <c r="N189" s="4">
        <v>200</v>
      </c>
      <c r="O189" s="4">
        <v>253</v>
      </c>
      <c r="P189" s="4">
        <v>259</v>
      </c>
      <c r="R189" s="4">
        <v>0.44180000000000003</v>
      </c>
      <c r="S189" s="7">
        <f t="shared" si="212"/>
        <v>111.7754</v>
      </c>
      <c r="T189" s="4">
        <v>0.5</v>
      </c>
      <c r="U189" s="6">
        <v>2.7659999999999982</v>
      </c>
      <c r="V189" s="6">
        <f t="shared" si="213"/>
        <v>6.2607514712539567</v>
      </c>
      <c r="W189" s="26">
        <v>36.231884057971016</v>
      </c>
      <c r="X189" s="27">
        <v>44143</v>
      </c>
      <c r="Y189" s="7" t="s">
        <v>289</v>
      </c>
      <c r="Z189" s="7">
        <v>0</v>
      </c>
      <c r="AA189" s="7">
        <v>0</v>
      </c>
      <c r="AB189" s="7">
        <v>328</v>
      </c>
      <c r="AC189" s="7">
        <v>1476</v>
      </c>
      <c r="AD189" s="7">
        <v>10169</v>
      </c>
      <c r="AE189" s="7">
        <v>0</v>
      </c>
      <c r="AF189" s="7">
        <v>0</v>
      </c>
      <c r="AG189" s="37">
        <f t="shared" si="163"/>
        <v>11973</v>
      </c>
      <c r="AH189" s="29">
        <f t="shared" ref="AH189:AH191" si="214">SUM(Z189:AF189)</f>
        <v>11973</v>
      </c>
      <c r="AI189">
        <f t="shared" ref="AI189:AI191" si="215">1*Z189</f>
        <v>0</v>
      </c>
      <c r="AJ189">
        <f t="shared" ref="AJ189:AJ191" si="216">2*AA189</f>
        <v>0</v>
      </c>
      <c r="AK189">
        <f t="shared" ref="AK189:AK191" si="217">3*AB189</f>
        <v>984</v>
      </c>
      <c r="AL189">
        <f t="shared" ref="AL189:AL191" si="218">4*AC189</f>
        <v>5904</v>
      </c>
      <c r="AM189">
        <f t="shared" ref="AM189:AM191" si="219">5*AD189</f>
        <v>50845</v>
      </c>
      <c r="AN189">
        <f t="shared" ref="AN189:AN191" si="220">6*(AE189+AF189)</f>
        <v>0</v>
      </c>
      <c r="AO189" s="40">
        <f t="shared" ref="AO189:AO191" si="221">SUM(AI189:AN189)/AH189</f>
        <v>4.8219326818675352</v>
      </c>
    </row>
    <row r="190" spans="1:41" x14ac:dyDescent="0.25">
      <c r="A190" s="4" t="s">
        <v>295</v>
      </c>
      <c r="B190" s="4" t="s">
        <v>295</v>
      </c>
      <c r="C190" s="4" t="s">
        <v>362</v>
      </c>
      <c r="D190" s="14">
        <v>44210</v>
      </c>
      <c r="F190" s="4">
        <f t="shared" si="159"/>
        <v>1</v>
      </c>
      <c r="G190" s="4">
        <f t="shared" si="160"/>
        <v>14</v>
      </c>
      <c r="H190" s="4">
        <f t="shared" si="161"/>
        <v>2021</v>
      </c>
      <c r="I190" s="24">
        <v>0.53611111111111109</v>
      </c>
      <c r="J190" s="4">
        <v>42.862000000000002</v>
      </c>
      <c r="K190" s="4">
        <v>69.861999999999995</v>
      </c>
      <c r="L190" s="28" t="s">
        <v>194</v>
      </c>
      <c r="M190" s="4" t="s">
        <v>32</v>
      </c>
      <c r="N190" s="4">
        <v>200</v>
      </c>
      <c r="O190" s="4">
        <v>253</v>
      </c>
      <c r="P190" s="4">
        <v>259</v>
      </c>
      <c r="R190" s="4">
        <v>0.44180000000000003</v>
      </c>
      <c r="S190" s="7">
        <f t="shared" si="212"/>
        <v>111.7754</v>
      </c>
      <c r="T190" s="4">
        <v>0.5</v>
      </c>
      <c r="U190" s="6">
        <v>4.088000000000001</v>
      </c>
      <c r="V190" s="6">
        <f t="shared" si="213"/>
        <v>9.2530556813037581</v>
      </c>
      <c r="W190" s="26">
        <v>29.761904761904763</v>
      </c>
      <c r="X190" s="27">
        <v>44210</v>
      </c>
      <c r="Y190" s="7" t="s">
        <v>289</v>
      </c>
      <c r="Z190" s="7">
        <v>0</v>
      </c>
      <c r="AA190" s="7">
        <v>0</v>
      </c>
      <c r="AB190" s="7">
        <v>0</v>
      </c>
      <c r="AC190" s="7">
        <v>540</v>
      </c>
      <c r="AD190" s="7">
        <v>4073</v>
      </c>
      <c r="AE190" s="7">
        <v>1427</v>
      </c>
      <c r="AF190" s="7">
        <v>67</v>
      </c>
      <c r="AG190" s="37">
        <f t="shared" si="163"/>
        <v>6107</v>
      </c>
      <c r="AH190" s="29">
        <f t="shared" si="214"/>
        <v>6107</v>
      </c>
      <c r="AI190">
        <f t="shared" si="215"/>
        <v>0</v>
      </c>
      <c r="AJ190">
        <f t="shared" si="216"/>
        <v>0</v>
      </c>
      <c r="AK190">
        <f t="shared" si="217"/>
        <v>0</v>
      </c>
      <c r="AL190">
        <f t="shared" si="218"/>
        <v>2160</v>
      </c>
      <c r="AM190">
        <f t="shared" si="219"/>
        <v>20365</v>
      </c>
      <c r="AN190">
        <f t="shared" si="220"/>
        <v>8964</v>
      </c>
      <c r="AO190" s="40">
        <f t="shared" si="221"/>
        <v>5.1562141804486652</v>
      </c>
    </row>
    <row r="191" spans="1:41" x14ac:dyDescent="0.25">
      <c r="A191" s="4" t="s">
        <v>296</v>
      </c>
      <c r="B191" s="4" t="s">
        <v>296</v>
      </c>
      <c r="C191" s="4" t="s">
        <v>362</v>
      </c>
      <c r="D191" s="14">
        <v>44245</v>
      </c>
      <c r="F191" s="4">
        <f t="shared" si="159"/>
        <v>2</v>
      </c>
      <c r="G191" s="4">
        <f t="shared" si="160"/>
        <v>18</v>
      </c>
      <c r="H191" s="4">
        <f t="shared" si="161"/>
        <v>2021</v>
      </c>
      <c r="I191" s="24">
        <v>0.41666666666666669</v>
      </c>
      <c r="J191" s="4">
        <v>42.862000000000002</v>
      </c>
      <c r="K191" s="4">
        <v>69.861999999999995</v>
      </c>
      <c r="L191" s="28" t="s">
        <v>152</v>
      </c>
      <c r="M191" s="4" t="s">
        <v>32</v>
      </c>
      <c r="N191" s="4">
        <v>200</v>
      </c>
      <c r="O191" s="4">
        <v>253</v>
      </c>
      <c r="P191" s="4">
        <v>259</v>
      </c>
      <c r="Q191" s="4" t="s">
        <v>297</v>
      </c>
      <c r="R191" s="4">
        <v>0.44180000000000003</v>
      </c>
      <c r="S191" s="7">
        <f t="shared" si="212"/>
        <v>111.7754</v>
      </c>
      <c r="T191" s="4">
        <v>0.5</v>
      </c>
      <c r="U191" s="6">
        <v>0.93199999999999861</v>
      </c>
      <c r="V191" s="6">
        <f t="shared" si="213"/>
        <v>2.1095518334087791</v>
      </c>
      <c r="W191" s="26">
        <f>(59+72+64.5)/3</f>
        <v>65.166666666666671</v>
      </c>
      <c r="X191" s="27">
        <v>44245</v>
      </c>
      <c r="Y191" s="7" t="s">
        <v>289</v>
      </c>
      <c r="Z191" s="7">
        <v>405</v>
      </c>
      <c r="AA191" s="7">
        <v>349</v>
      </c>
      <c r="AB191" s="7">
        <v>336</v>
      </c>
      <c r="AC191" s="7">
        <v>340</v>
      </c>
      <c r="AD191" s="7">
        <v>809</v>
      </c>
      <c r="AE191" s="7">
        <v>570</v>
      </c>
      <c r="AF191" s="7">
        <v>179</v>
      </c>
      <c r="AG191" s="37">
        <f t="shared" si="163"/>
        <v>2234</v>
      </c>
      <c r="AH191" s="29">
        <f t="shared" si="214"/>
        <v>2988</v>
      </c>
      <c r="AI191">
        <f t="shared" si="215"/>
        <v>405</v>
      </c>
      <c r="AJ191">
        <f t="shared" si="216"/>
        <v>698</v>
      </c>
      <c r="AK191">
        <f t="shared" si="217"/>
        <v>1008</v>
      </c>
      <c r="AL191">
        <f t="shared" si="218"/>
        <v>1360</v>
      </c>
      <c r="AM191">
        <f t="shared" si="219"/>
        <v>4045</v>
      </c>
      <c r="AN191">
        <f t="shared" si="220"/>
        <v>4494</v>
      </c>
      <c r="AO191" s="40">
        <f t="shared" si="221"/>
        <v>4.0194109772423028</v>
      </c>
    </row>
    <row r="192" spans="1:41" x14ac:dyDescent="0.25">
      <c r="A192" s="4" t="s">
        <v>296</v>
      </c>
      <c r="B192" s="4" t="s">
        <v>296</v>
      </c>
      <c r="C192" s="4" t="s">
        <v>362</v>
      </c>
      <c r="D192" s="14">
        <v>44245</v>
      </c>
      <c r="E192" s="14"/>
      <c r="F192" s="4">
        <f t="shared" si="159"/>
        <v>2</v>
      </c>
      <c r="G192" s="4">
        <f t="shared" si="160"/>
        <v>18</v>
      </c>
      <c r="H192" s="4">
        <f t="shared" si="161"/>
        <v>2021</v>
      </c>
      <c r="I192" s="24">
        <v>0.41666666666666669</v>
      </c>
      <c r="J192" s="4">
        <v>42.862000000000002</v>
      </c>
      <c r="K192" s="4">
        <v>69.861999999999995</v>
      </c>
      <c r="L192" s="28" t="s">
        <v>194</v>
      </c>
      <c r="M192" s="4" t="s">
        <v>32</v>
      </c>
      <c r="N192" s="4">
        <v>200</v>
      </c>
      <c r="O192" s="4">
        <v>253</v>
      </c>
      <c r="P192" s="4">
        <v>259</v>
      </c>
      <c r="Q192" s="4" t="s">
        <v>298</v>
      </c>
      <c r="R192" s="4">
        <v>0.44180000000000003</v>
      </c>
      <c r="S192" s="7">
        <f t="shared" si="212"/>
        <v>111.7754</v>
      </c>
      <c r="T192" s="4">
        <v>0.5</v>
      </c>
      <c r="U192" s="6">
        <v>1.2040000000000006</v>
      </c>
      <c r="V192" s="6">
        <f t="shared" si="213"/>
        <v>2.7252150294250805</v>
      </c>
      <c r="W192" s="26"/>
      <c r="X192" s="27">
        <v>44245</v>
      </c>
      <c r="AG192" s="37"/>
    </row>
    <row r="193" spans="1:41" x14ac:dyDescent="0.25">
      <c r="A193" s="4" t="s">
        <v>299</v>
      </c>
      <c r="B193" s="4" t="s">
        <v>299</v>
      </c>
      <c r="C193" s="4" t="s">
        <v>362</v>
      </c>
      <c r="D193" s="14">
        <v>44278</v>
      </c>
      <c r="F193" s="4">
        <f t="shared" si="159"/>
        <v>3</v>
      </c>
      <c r="G193" s="4">
        <f t="shared" si="160"/>
        <v>23</v>
      </c>
      <c r="H193" s="4">
        <f t="shared" si="161"/>
        <v>2021</v>
      </c>
      <c r="I193" s="24">
        <v>0.53125</v>
      </c>
      <c r="J193" s="4">
        <v>42.862000000000002</v>
      </c>
      <c r="K193" s="4">
        <v>69.861999999999995</v>
      </c>
      <c r="L193" s="28" t="s">
        <v>194</v>
      </c>
      <c r="M193" s="4" t="s">
        <v>32</v>
      </c>
      <c r="N193" s="4">
        <v>200</v>
      </c>
      <c r="O193" s="4">
        <v>253</v>
      </c>
      <c r="P193" s="4">
        <v>259</v>
      </c>
      <c r="Q193" s="4" t="s">
        <v>297</v>
      </c>
      <c r="R193" s="4">
        <v>0.44180000000000003</v>
      </c>
      <c r="S193" s="7">
        <f t="shared" si="212"/>
        <v>111.7754</v>
      </c>
      <c r="T193" s="4">
        <v>0.5</v>
      </c>
      <c r="U193" s="6">
        <v>1.2259999999999991</v>
      </c>
      <c r="V193" s="6">
        <f t="shared" si="213"/>
        <v>2.7750113173381599</v>
      </c>
      <c r="W193" s="26">
        <v>32</v>
      </c>
      <c r="X193" s="27">
        <v>44278</v>
      </c>
      <c r="Y193" s="7" t="s">
        <v>289</v>
      </c>
      <c r="Z193" s="7">
        <v>1135</v>
      </c>
      <c r="AA193" s="7">
        <v>1161</v>
      </c>
      <c r="AB193" s="7">
        <v>654</v>
      </c>
      <c r="AC193" s="7">
        <v>433</v>
      </c>
      <c r="AD193" s="7">
        <v>993</v>
      </c>
      <c r="AE193" s="7">
        <v>792</v>
      </c>
      <c r="AF193" s="7">
        <v>285</v>
      </c>
      <c r="AG193" s="37">
        <f t="shared" si="163"/>
        <v>3157</v>
      </c>
      <c r="AH193" s="29">
        <f>SUM(Z193:AF193)</f>
        <v>5453</v>
      </c>
      <c r="AI193">
        <f>1*Z193</f>
        <v>1135</v>
      </c>
      <c r="AJ193">
        <f>2*AA193</f>
        <v>2322</v>
      </c>
      <c r="AK193">
        <f>3*AB193</f>
        <v>1962</v>
      </c>
      <c r="AL193">
        <f>4*AC193</f>
        <v>1732</v>
      </c>
      <c r="AM193">
        <f>5*AD193</f>
        <v>4965</v>
      </c>
      <c r="AN193">
        <f>6*(AE193+AF193)</f>
        <v>6462</v>
      </c>
      <c r="AO193" s="40">
        <f>SUM(AI193:AN193)/AH193</f>
        <v>3.4069319640564828</v>
      </c>
    </row>
    <row r="194" spans="1:41" x14ac:dyDescent="0.25">
      <c r="A194" s="4" t="s">
        <v>299</v>
      </c>
      <c r="B194" s="4" t="s">
        <v>299</v>
      </c>
      <c r="C194" s="4" t="s">
        <v>362</v>
      </c>
      <c r="D194" s="14">
        <v>44278</v>
      </c>
      <c r="E194" s="14"/>
      <c r="F194" s="4">
        <f t="shared" si="159"/>
        <v>3</v>
      </c>
      <c r="G194" s="4">
        <f t="shared" si="160"/>
        <v>23</v>
      </c>
      <c r="H194" s="4">
        <f t="shared" si="161"/>
        <v>2021</v>
      </c>
      <c r="I194" s="24">
        <v>0.53125</v>
      </c>
      <c r="J194" s="4">
        <v>42.862000000000002</v>
      </c>
      <c r="K194" s="4">
        <v>69.861999999999995</v>
      </c>
      <c r="L194" s="28" t="s">
        <v>155</v>
      </c>
      <c r="M194" s="4" t="s">
        <v>32</v>
      </c>
      <c r="N194" s="4">
        <v>200</v>
      </c>
      <c r="O194" s="4">
        <v>253</v>
      </c>
      <c r="P194" s="4">
        <v>259</v>
      </c>
      <c r="Q194" s="4" t="s">
        <v>293</v>
      </c>
      <c r="R194" s="4">
        <v>0.44180000000000003</v>
      </c>
      <c r="S194" s="7">
        <f t="shared" si="212"/>
        <v>111.7754</v>
      </c>
      <c r="T194" s="4">
        <v>0.5</v>
      </c>
      <c r="U194" s="6">
        <v>1.0579999999999998</v>
      </c>
      <c r="V194" s="6">
        <f t="shared" si="213"/>
        <v>2.3947487550928015</v>
      </c>
      <c r="W194" s="26"/>
      <c r="X194" s="27">
        <v>44278</v>
      </c>
      <c r="AG194" s="37"/>
    </row>
    <row r="195" spans="1:41" x14ac:dyDescent="0.25">
      <c r="A195" s="4" t="s">
        <v>300</v>
      </c>
      <c r="B195" s="4" t="s">
        <v>300</v>
      </c>
      <c r="C195" s="4" t="s">
        <v>362</v>
      </c>
      <c r="D195" s="14">
        <v>44314</v>
      </c>
      <c r="F195" s="4">
        <f t="shared" si="159"/>
        <v>4</v>
      </c>
      <c r="G195" s="4">
        <f t="shared" si="160"/>
        <v>28</v>
      </c>
      <c r="H195" s="4">
        <f t="shared" si="161"/>
        <v>2021</v>
      </c>
      <c r="I195" s="24">
        <v>0.51527777777777783</v>
      </c>
      <c r="J195" s="4">
        <v>42.860999999999997</v>
      </c>
      <c r="K195" s="4">
        <v>69.861000000000004</v>
      </c>
      <c r="L195" s="28" t="s">
        <v>152</v>
      </c>
      <c r="M195" s="4" t="s">
        <v>32</v>
      </c>
      <c r="N195" s="4">
        <v>200</v>
      </c>
      <c r="O195" s="4">
        <v>253</v>
      </c>
      <c r="P195" s="4">
        <v>259</v>
      </c>
      <c r="R195" s="4">
        <v>0.44180000000000003</v>
      </c>
      <c r="S195" s="7">
        <f t="shared" si="212"/>
        <v>111.7754</v>
      </c>
      <c r="T195" s="4">
        <v>0.5</v>
      </c>
      <c r="U195" s="6">
        <v>4.6219999999999999</v>
      </c>
      <c r="V195" s="6">
        <f t="shared" si="213"/>
        <v>10.461747397012223</v>
      </c>
      <c r="W195" s="26">
        <f>(78.1+125)/2</f>
        <v>101.55</v>
      </c>
      <c r="X195" s="27">
        <v>44314</v>
      </c>
      <c r="Y195" s="7" t="s">
        <v>289</v>
      </c>
      <c r="Z195" s="7">
        <v>28895</v>
      </c>
      <c r="AA195" s="7">
        <v>26525</v>
      </c>
      <c r="AB195" s="7">
        <v>17577</v>
      </c>
      <c r="AC195" s="7">
        <v>15986</v>
      </c>
      <c r="AD195" s="7">
        <v>26596</v>
      </c>
      <c r="AE195" s="7">
        <v>2865</v>
      </c>
      <c r="AF195" s="7">
        <v>0</v>
      </c>
      <c r="AG195" s="37">
        <f t="shared" si="163"/>
        <v>63024</v>
      </c>
      <c r="AH195" s="29">
        <f>SUM(Z195:AF195)</f>
        <v>118444</v>
      </c>
      <c r="AI195">
        <f>1*Z195</f>
        <v>28895</v>
      </c>
      <c r="AJ195">
        <f>2*AA195</f>
        <v>53050</v>
      </c>
      <c r="AK195">
        <f>3*AB195</f>
        <v>52731</v>
      </c>
      <c r="AL195">
        <f>4*AC195</f>
        <v>63944</v>
      </c>
      <c r="AM195">
        <f>5*AD195</f>
        <v>132980</v>
      </c>
      <c r="AN195">
        <f>6*(AE195+AF195)</f>
        <v>17190</v>
      </c>
      <c r="AO195" s="40">
        <f>SUM(AI195:AN195)/AH195</f>
        <v>2.9447671473438923</v>
      </c>
    </row>
    <row r="196" spans="1:41" x14ac:dyDescent="0.25">
      <c r="A196" s="4" t="s">
        <v>300</v>
      </c>
      <c r="B196" s="4" t="s">
        <v>300</v>
      </c>
      <c r="C196" s="4" t="s">
        <v>362</v>
      </c>
      <c r="D196" s="14">
        <v>44314</v>
      </c>
      <c r="E196" s="14"/>
      <c r="F196" s="4">
        <f t="shared" si="159"/>
        <v>4</v>
      </c>
      <c r="G196" s="4">
        <f t="shared" si="160"/>
        <v>28</v>
      </c>
      <c r="H196" s="4">
        <f t="shared" si="161"/>
        <v>2021</v>
      </c>
      <c r="I196" s="24">
        <v>0.51527777777777783</v>
      </c>
      <c r="J196" s="4">
        <v>42.860999999999997</v>
      </c>
      <c r="K196" s="4">
        <v>69.861000000000004</v>
      </c>
      <c r="L196" s="28" t="s">
        <v>287</v>
      </c>
      <c r="M196" s="4" t="s">
        <v>32</v>
      </c>
      <c r="N196" s="4">
        <v>200</v>
      </c>
      <c r="O196" s="4">
        <v>253</v>
      </c>
      <c r="P196" s="4">
        <v>259</v>
      </c>
      <c r="Q196" s="4" t="s">
        <v>288</v>
      </c>
      <c r="R196" s="4">
        <v>0.44180000000000003</v>
      </c>
      <c r="S196" s="7">
        <f t="shared" si="212"/>
        <v>111.7754</v>
      </c>
      <c r="T196" s="4">
        <v>0.5</v>
      </c>
      <c r="U196" s="6">
        <v>4.8520000000000003</v>
      </c>
      <c r="V196" s="6">
        <f t="shared" si="213"/>
        <v>10.98234495246718</v>
      </c>
      <c r="W196" s="26"/>
      <c r="X196" s="27">
        <v>44314</v>
      </c>
      <c r="AG196" s="37"/>
    </row>
    <row r="197" spans="1:41" x14ac:dyDescent="0.25">
      <c r="A197" s="4" t="s">
        <v>301</v>
      </c>
      <c r="B197" s="4" t="s">
        <v>301</v>
      </c>
      <c r="C197" s="4" t="s">
        <v>362</v>
      </c>
      <c r="D197" s="14">
        <v>44334</v>
      </c>
      <c r="F197" s="4">
        <f t="shared" si="159"/>
        <v>5</v>
      </c>
      <c r="G197" s="4">
        <f t="shared" si="160"/>
        <v>18</v>
      </c>
      <c r="H197" s="4">
        <f t="shared" si="161"/>
        <v>2021</v>
      </c>
      <c r="I197" s="24">
        <v>0.50347222222222221</v>
      </c>
      <c r="J197" s="4">
        <v>42.860999999999997</v>
      </c>
      <c r="K197" s="4">
        <v>69.861000000000004</v>
      </c>
      <c r="L197" s="28" t="s">
        <v>152</v>
      </c>
      <c r="M197" s="4" t="s">
        <v>32</v>
      </c>
      <c r="N197" s="4">
        <v>200</v>
      </c>
      <c r="O197" s="4">
        <v>253</v>
      </c>
      <c r="P197" s="4">
        <v>259</v>
      </c>
      <c r="R197" s="4">
        <v>0.44180000000000003</v>
      </c>
      <c r="S197" s="7">
        <f t="shared" si="212"/>
        <v>111.7754</v>
      </c>
      <c r="T197" s="4">
        <v>0.5</v>
      </c>
      <c r="U197" s="6">
        <v>5.8219999999999992</v>
      </c>
      <c r="V197" s="6">
        <f t="shared" si="213"/>
        <v>13.177908555907647</v>
      </c>
      <c r="W197" s="26">
        <v>87.412587412587413</v>
      </c>
      <c r="X197" s="27">
        <v>44334</v>
      </c>
      <c r="Y197" s="7" t="s">
        <v>289</v>
      </c>
      <c r="Z197" s="7">
        <v>0</v>
      </c>
      <c r="AA197" s="7">
        <v>2374</v>
      </c>
      <c r="AB197" s="7">
        <v>9893</v>
      </c>
      <c r="AC197" s="7">
        <v>18994</v>
      </c>
      <c r="AD197" s="7">
        <v>29678</v>
      </c>
      <c r="AE197" s="7">
        <v>3166</v>
      </c>
      <c r="AF197" s="7">
        <v>791</v>
      </c>
      <c r="AG197" s="37">
        <f t="shared" si="163"/>
        <v>62522</v>
      </c>
      <c r="AH197" s="29">
        <f>SUM(Z197:AF197)</f>
        <v>64896</v>
      </c>
      <c r="AI197">
        <f>1*Z197</f>
        <v>0</v>
      </c>
      <c r="AJ197">
        <f>2*AA197</f>
        <v>4748</v>
      </c>
      <c r="AK197">
        <f>3*AB197</f>
        <v>29679</v>
      </c>
      <c r="AL197">
        <f>4*AC197</f>
        <v>75976</v>
      </c>
      <c r="AM197">
        <f>5*AD197</f>
        <v>148390</v>
      </c>
      <c r="AN197">
        <f>6*(AE197+AF197)</f>
        <v>23742</v>
      </c>
      <c r="AO197" s="40">
        <f>SUM(AI197:AN197)/AH197</f>
        <v>4.3536581607495073</v>
      </c>
    </row>
    <row r="198" spans="1:41" x14ac:dyDescent="0.25">
      <c r="A198" s="4" t="s">
        <v>301</v>
      </c>
      <c r="B198" s="4" t="s">
        <v>301</v>
      </c>
      <c r="C198" s="4" t="s">
        <v>362</v>
      </c>
      <c r="D198" s="14">
        <v>44334</v>
      </c>
      <c r="E198" s="14"/>
      <c r="F198" s="4">
        <f t="shared" si="159"/>
        <v>5</v>
      </c>
      <c r="G198" s="4">
        <f t="shared" si="160"/>
        <v>18</v>
      </c>
      <c r="H198" s="4">
        <f t="shared" si="161"/>
        <v>2021</v>
      </c>
      <c r="I198" s="24">
        <v>0.50347222222222221</v>
      </c>
      <c r="J198" s="4">
        <v>42.860999999999997</v>
      </c>
      <c r="K198" s="4">
        <v>69.861000000000004</v>
      </c>
      <c r="L198" s="4" t="s">
        <v>194</v>
      </c>
      <c r="M198" s="4" t="s">
        <v>32</v>
      </c>
      <c r="N198" s="4">
        <v>200</v>
      </c>
      <c r="O198" s="4">
        <v>253</v>
      </c>
      <c r="P198" s="4">
        <v>259</v>
      </c>
      <c r="R198" s="4">
        <v>0.44180000000000003</v>
      </c>
      <c r="S198" s="7">
        <f t="shared" si="212"/>
        <v>111.7754</v>
      </c>
      <c r="T198" s="4">
        <v>0.5</v>
      </c>
      <c r="U198" s="6">
        <v>6.0519999999999996</v>
      </c>
      <c r="V198" s="6">
        <f t="shared" si="213"/>
        <v>13.698506111362606</v>
      </c>
      <c r="W198" s="26"/>
      <c r="X198" s="27">
        <v>44334</v>
      </c>
      <c r="AG198" s="37"/>
    </row>
    <row r="199" spans="1:41" x14ac:dyDescent="0.25">
      <c r="A199" s="4" t="s">
        <v>301</v>
      </c>
      <c r="B199" s="4" t="s">
        <v>301</v>
      </c>
      <c r="C199" s="4" t="s">
        <v>362</v>
      </c>
      <c r="D199" s="14">
        <v>44334</v>
      </c>
      <c r="E199" s="14"/>
      <c r="F199" s="4">
        <f t="shared" si="159"/>
        <v>5</v>
      </c>
      <c r="G199" s="4">
        <f t="shared" si="160"/>
        <v>18</v>
      </c>
      <c r="H199" s="4">
        <f t="shared" si="161"/>
        <v>2021</v>
      </c>
      <c r="I199" s="24">
        <v>0.50347222222222221</v>
      </c>
      <c r="J199" s="4">
        <v>42.860999999999997</v>
      </c>
      <c r="K199" s="4">
        <v>69.861000000000004</v>
      </c>
      <c r="L199" s="4" t="s">
        <v>155</v>
      </c>
      <c r="M199" s="4" t="s">
        <v>32</v>
      </c>
      <c r="N199" s="4">
        <v>200</v>
      </c>
      <c r="O199" s="4">
        <v>253</v>
      </c>
      <c r="P199" s="4">
        <v>259</v>
      </c>
      <c r="R199" s="4">
        <v>0.44180000000000003</v>
      </c>
      <c r="S199" s="7">
        <f t="shared" si="212"/>
        <v>111.7754</v>
      </c>
      <c r="T199" s="4">
        <v>0.5</v>
      </c>
      <c r="U199" s="6">
        <v>5.5560000000000009</v>
      </c>
      <c r="V199" s="6">
        <f t="shared" si="213"/>
        <v>12.575826165685832</v>
      </c>
      <c r="W199" s="26"/>
      <c r="X199" s="27">
        <v>44334</v>
      </c>
      <c r="AG199" s="37"/>
    </row>
    <row r="200" spans="1:41" x14ac:dyDescent="0.25">
      <c r="A200" s="4" t="s">
        <v>302</v>
      </c>
      <c r="B200" s="4" t="s">
        <v>302</v>
      </c>
      <c r="C200" s="4" t="s">
        <v>362</v>
      </c>
      <c r="D200" s="14">
        <v>44391</v>
      </c>
      <c r="F200" s="4">
        <f t="shared" si="159"/>
        <v>7</v>
      </c>
      <c r="G200" s="4">
        <f t="shared" si="160"/>
        <v>14</v>
      </c>
      <c r="H200" s="4">
        <f t="shared" si="161"/>
        <v>2021</v>
      </c>
      <c r="I200" s="24">
        <v>0.59305555555555556</v>
      </c>
      <c r="J200" s="4">
        <v>42.860999999999997</v>
      </c>
      <c r="K200" s="4">
        <v>69.861000000000004</v>
      </c>
      <c r="L200" s="28" t="s">
        <v>303</v>
      </c>
      <c r="M200" s="4" t="s">
        <v>32</v>
      </c>
      <c r="N200" s="4">
        <v>200</v>
      </c>
      <c r="O200" s="4">
        <v>253</v>
      </c>
      <c r="P200" s="4">
        <v>259</v>
      </c>
      <c r="R200" s="4">
        <v>0.44180000000000003</v>
      </c>
      <c r="S200" s="7">
        <f t="shared" si="212"/>
        <v>111.7754</v>
      </c>
      <c r="T200" s="4">
        <v>0.5</v>
      </c>
      <c r="U200" s="6">
        <v>3.2959999999999994</v>
      </c>
      <c r="V200" s="6">
        <f t="shared" si="213"/>
        <v>7.4603893164327735</v>
      </c>
      <c r="W200" s="26">
        <v>44.642857142857146</v>
      </c>
      <c r="X200" s="27">
        <v>44391</v>
      </c>
      <c r="Y200" s="7" t="s">
        <v>289</v>
      </c>
      <c r="Z200" s="7">
        <v>202</v>
      </c>
      <c r="AA200" s="7">
        <v>404</v>
      </c>
      <c r="AB200" s="7">
        <v>1010</v>
      </c>
      <c r="AC200" s="7">
        <v>10711</v>
      </c>
      <c r="AD200" s="7">
        <v>10711</v>
      </c>
      <c r="AE200" s="7">
        <v>0</v>
      </c>
      <c r="AF200" s="7">
        <v>0</v>
      </c>
      <c r="AG200" s="37">
        <f t="shared" si="163"/>
        <v>22432</v>
      </c>
      <c r="AH200" s="29">
        <f t="shared" ref="AH200:AH201" si="222">SUM(Z200:AF200)</f>
        <v>23038</v>
      </c>
      <c r="AI200">
        <f t="shared" ref="AI200:AI201" si="223">1*Z200</f>
        <v>202</v>
      </c>
      <c r="AJ200">
        <f t="shared" ref="AJ200:AJ201" si="224">2*AA200</f>
        <v>808</v>
      </c>
      <c r="AK200">
        <f t="shared" ref="AK200:AK201" si="225">3*AB200</f>
        <v>3030</v>
      </c>
      <c r="AL200">
        <f t="shared" ref="AL200:AL201" si="226">4*AC200</f>
        <v>42844</v>
      </c>
      <c r="AM200">
        <f t="shared" ref="AM200:AM201" si="227">5*AD200</f>
        <v>53555</v>
      </c>
      <c r="AN200">
        <f t="shared" ref="AN200:AN201" si="228">6*(AE200+AF200)</f>
        <v>0</v>
      </c>
      <c r="AO200" s="40">
        <f t="shared" ref="AO200:AO201" si="229">SUM(AI200:AN200)/AH200</f>
        <v>4.359710044274677</v>
      </c>
    </row>
    <row r="201" spans="1:41" x14ac:dyDescent="0.25">
      <c r="A201" s="4" t="s">
        <v>304</v>
      </c>
      <c r="B201" s="4" t="s">
        <v>304</v>
      </c>
      <c r="C201" s="4" t="s">
        <v>362</v>
      </c>
      <c r="D201" s="14">
        <v>44440</v>
      </c>
      <c r="F201" s="4">
        <f t="shared" si="159"/>
        <v>9</v>
      </c>
      <c r="G201" s="4">
        <f t="shared" si="160"/>
        <v>1</v>
      </c>
      <c r="H201" s="4">
        <f t="shared" si="161"/>
        <v>2021</v>
      </c>
      <c r="I201" s="24">
        <v>0.5625</v>
      </c>
      <c r="J201" s="4">
        <v>42.860999999999997</v>
      </c>
      <c r="K201" s="4">
        <v>69.861000000000004</v>
      </c>
      <c r="L201" s="28" t="s">
        <v>194</v>
      </c>
      <c r="M201" s="4" t="s">
        <v>32</v>
      </c>
      <c r="N201" s="4">
        <v>200</v>
      </c>
      <c r="O201" s="4">
        <v>255</v>
      </c>
      <c r="P201" s="4">
        <v>260</v>
      </c>
      <c r="R201" s="4">
        <v>0.44180000000000003</v>
      </c>
      <c r="S201" s="7">
        <f t="shared" si="212"/>
        <v>112.65900000000001</v>
      </c>
      <c r="T201" s="4">
        <v>0.5</v>
      </c>
      <c r="U201" s="6">
        <v>2.304000000000002</v>
      </c>
      <c r="V201" s="6">
        <f t="shared" si="213"/>
        <v>5.2150294250792255</v>
      </c>
      <c r="W201" s="26">
        <v>40.983606557377051</v>
      </c>
      <c r="X201" s="27">
        <v>44440</v>
      </c>
      <c r="Y201" s="7" t="s">
        <v>289</v>
      </c>
      <c r="Z201" s="7">
        <v>0</v>
      </c>
      <c r="AA201" s="7">
        <v>0</v>
      </c>
      <c r="AB201" s="7">
        <v>371</v>
      </c>
      <c r="AC201" s="7">
        <v>4453</v>
      </c>
      <c r="AD201" s="7">
        <v>9833</v>
      </c>
      <c r="AE201" s="7">
        <v>186</v>
      </c>
      <c r="AF201" s="7">
        <v>0</v>
      </c>
      <c r="AG201" s="37">
        <f t="shared" si="163"/>
        <v>14843</v>
      </c>
      <c r="AH201" s="29">
        <f t="shared" si="222"/>
        <v>14843</v>
      </c>
      <c r="AI201">
        <f t="shared" si="223"/>
        <v>0</v>
      </c>
      <c r="AJ201">
        <f t="shared" si="224"/>
        <v>0</v>
      </c>
      <c r="AK201">
        <f t="shared" si="225"/>
        <v>1113</v>
      </c>
      <c r="AL201">
        <f t="shared" si="226"/>
        <v>17812</v>
      </c>
      <c r="AM201">
        <f t="shared" si="227"/>
        <v>49165</v>
      </c>
      <c r="AN201">
        <f t="shared" si="228"/>
        <v>1116</v>
      </c>
      <c r="AO201" s="40">
        <f t="shared" si="229"/>
        <v>4.6625345280603652</v>
      </c>
    </row>
    <row r="202" spans="1:41" x14ac:dyDescent="0.25">
      <c r="A202" s="4" t="s">
        <v>304</v>
      </c>
      <c r="B202" s="4" t="s">
        <v>304</v>
      </c>
      <c r="C202" s="4" t="s">
        <v>362</v>
      </c>
      <c r="D202" s="14">
        <v>44440</v>
      </c>
      <c r="E202" s="14"/>
      <c r="F202" s="4">
        <f t="shared" si="159"/>
        <v>9</v>
      </c>
      <c r="G202" s="4">
        <f t="shared" si="160"/>
        <v>1</v>
      </c>
      <c r="H202" s="4">
        <f t="shared" si="161"/>
        <v>2021</v>
      </c>
      <c r="I202" s="24">
        <v>0.5625</v>
      </c>
      <c r="J202" s="4">
        <v>42.860999999999997</v>
      </c>
      <c r="K202" s="4">
        <v>69.861000000000004</v>
      </c>
      <c r="L202" s="28" t="s">
        <v>155</v>
      </c>
      <c r="M202" s="4" t="s">
        <v>32</v>
      </c>
      <c r="N202" s="4">
        <v>200</v>
      </c>
      <c r="O202" s="4">
        <v>255</v>
      </c>
      <c r="P202" s="4">
        <v>260</v>
      </c>
      <c r="R202" s="4">
        <v>0.44180000000000003</v>
      </c>
      <c r="S202" s="7">
        <f t="shared" si="212"/>
        <v>112.65900000000001</v>
      </c>
      <c r="T202" s="4">
        <v>0.5</v>
      </c>
      <c r="U202" s="6">
        <v>1.7099999999999973</v>
      </c>
      <c r="V202" s="6">
        <f t="shared" si="213"/>
        <v>3.8705296514259784</v>
      </c>
      <c r="W202" s="26"/>
      <c r="X202" s="27">
        <v>44440</v>
      </c>
      <c r="AG202" s="37"/>
    </row>
    <row r="203" spans="1:41" x14ac:dyDescent="0.25">
      <c r="A203" s="4" t="s">
        <v>305</v>
      </c>
      <c r="B203" s="4" t="s">
        <v>305</v>
      </c>
      <c r="C203" s="4" t="s">
        <v>362</v>
      </c>
      <c r="D203" s="14">
        <v>44470</v>
      </c>
      <c r="F203" s="4">
        <f t="shared" si="159"/>
        <v>10</v>
      </c>
      <c r="G203" s="4">
        <f t="shared" si="160"/>
        <v>1</v>
      </c>
      <c r="H203" s="4">
        <f t="shared" si="161"/>
        <v>2021</v>
      </c>
      <c r="I203" s="24">
        <v>0.5625</v>
      </c>
      <c r="J203" s="4">
        <v>42.860999999999997</v>
      </c>
      <c r="K203" s="4">
        <v>69.861000000000004</v>
      </c>
      <c r="L203" s="28" t="s">
        <v>306</v>
      </c>
      <c r="M203" s="4" t="s">
        <v>32</v>
      </c>
      <c r="N203" s="4">
        <v>200</v>
      </c>
      <c r="O203" s="4">
        <v>255</v>
      </c>
      <c r="P203" s="4">
        <v>260</v>
      </c>
      <c r="Q203" s="4" t="s">
        <v>298</v>
      </c>
      <c r="R203" s="4">
        <v>0.44180000000000003</v>
      </c>
      <c r="S203" s="7">
        <f t="shared" si="212"/>
        <v>112.65900000000001</v>
      </c>
      <c r="T203" s="4">
        <v>0.5</v>
      </c>
      <c r="U203" s="6">
        <v>2.5019999999999989</v>
      </c>
      <c r="V203" s="6">
        <f t="shared" si="213"/>
        <v>5.6631960162969648</v>
      </c>
      <c r="W203" s="26">
        <v>45.454545454545453</v>
      </c>
      <c r="X203" s="27">
        <v>44470</v>
      </c>
      <c r="Y203" s="7" t="s">
        <v>289</v>
      </c>
      <c r="Z203" s="7">
        <v>0</v>
      </c>
      <c r="AA203" s="7">
        <v>0</v>
      </c>
      <c r="AB203" s="7">
        <v>206</v>
      </c>
      <c r="AC203" s="7">
        <v>7613</v>
      </c>
      <c r="AD203" s="7">
        <v>8642</v>
      </c>
      <c r="AE203" s="7">
        <v>0</v>
      </c>
      <c r="AF203" s="7">
        <v>0</v>
      </c>
      <c r="AG203" s="37">
        <f t="shared" si="163"/>
        <v>16461</v>
      </c>
      <c r="AH203" s="29">
        <f>SUM(Z203:AF203)</f>
        <v>16461</v>
      </c>
      <c r="AI203">
        <f>1*Z203</f>
        <v>0</v>
      </c>
      <c r="AJ203">
        <f>2*AA203</f>
        <v>0</v>
      </c>
      <c r="AK203">
        <f>3*AB203</f>
        <v>618</v>
      </c>
      <c r="AL203">
        <f>4*AC203</f>
        <v>30452</v>
      </c>
      <c r="AM203">
        <f>5*AD203</f>
        <v>43210</v>
      </c>
      <c r="AN203">
        <f>6*(AE203+AF203)</f>
        <v>0</v>
      </c>
      <c r="AO203" s="40">
        <f>SUM(AI203:AN203)/AH203</f>
        <v>4.5124840532166939</v>
      </c>
    </row>
    <row r="204" spans="1:41" x14ac:dyDescent="0.25">
      <c r="A204" s="4" t="s">
        <v>307</v>
      </c>
      <c r="B204" s="4" t="s">
        <v>307</v>
      </c>
      <c r="C204" s="4" t="s">
        <v>362</v>
      </c>
      <c r="D204" s="14">
        <v>44470</v>
      </c>
      <c r="E204" s="14"/>
      <c r="F204" s="4">
        <f t="shared" si="159"/>
        <v>10</v>
      </c>
      <c r="G204" s="4">
        <f t="shared" si="160"/>
        <v>1</v>
      </c>
      <c r="H204" s="4">
        <f t="shared" si="161"/>
        <v>2021</v>
      </c>
      <c r="I204" s="24">
        <v>0.5625</v>
      </c>
      <c r="J204" s="4">
        <v>42.860999999999997</v>
      </c>
      <c r="K204" s="4">
        <v>69.861000000000004</v>
      </c>
      <c r="L204" s="4" t="s">
        <v>155</v>
      </c>
      <c r="M204" s="4" t="s">
        <v>32</v>
      </c>
      <c r="N204" s="4">
        <v>200</v>
      </c>
      <c r="O204" s="4">
        <v>255</v>
      </c>
      <c r="P204" s="4">
        <v>260</v>
      </c>
      <c r="R204" s="4">
        <v>0.44180000000000003</v>
      </c>
      <c r="S204" s="7">
        <f t="shared" si="212"/>
        <v>112.65900000000001</v>
      </c>
      <c r="T204" s="4">
        <v>0.5</v>
      </c>
      <c r="U204" s="6">
        <v>2.4480000000000004</v>
      </c>
      <c r="V204" s="6">
        <f t="shared" si="213"/>
        <v>5.5409687641466734</v>
      </c>
      <c r="W204" s="26"/>
      <c r="X204" s="27">
        <v>44470</v>
      </c>
      <c r="AG204" s="37"/>
    </row>
    <row r="205" spans="1:41" x14ac:dyDescent="0.25">
      <c r="A205" s="4" t="s">
        <v>308</v>
      </c>
      <c r="B205" s="4" t="s">
        <v>308</v>
      </c>
      <c r="C205" s="4" t="s">
        <v>362</v>
      </c>
      <c r="D205" s="14">
        <v>44508</v>
      </c>
      <c r="E205" s="14"/>
      <c r="F205" s="4">
        <f t="shared" ref="F205:F211" si="230">MONTH(D205)</f>
        <v>11</v>
      </c>
      <c r="G205" s="4">
        <f t="shared" ref="G205:G211" si="231">DAY(D205)</f>
        <v>8</v>
      </c>
      <c r="H205" s="4">
        <f t="shared" ref="H205:H216" si="232">YEAR(D205)</f>
        <v>2021</v>
      </c>
      <c r="I205" s="24">
        <v>0.54166666666666663</v>
      </c>
      <c r="J205" s="4">
        <v>42.860999999999997</v>
      </c>
      <c r="K205" s="4">
        <v>69.861000000000004</v>
      </c>
      <c r="L205" s="28" t="s">
        <v>152</v>
      </c>
      <c r="M205" s="4" t="s">
        <v>32</v>
      </c>
      <c r="N205" s="4">
        <v>200</v>
      </c>
      <c r="O205" s="4">
        <v>255</v>
      </c>
      <c r="P205" s="4">
        <v>260</v>
      </c>
      <c r="Q205" s="4" t="s">
        <v>286</v>
      </c>
      <c r="R205" s="4">
        <v>0.44180000000000003</v>
      </c>
      <c r="S205" s="7">
        <f t="shared" si="212"/>
        <v>112.65900000000001</v>
      </c>
      <c r="T205" s="4">
        <v>0.5</v>
      </c>
      <c r="U205" s="6">
        <v>2.2140000000000022</v>
      </c>
      <c r="V205" s="6">
        <f t="shared" si="213"/>
        <v>5.011317338162069</v>
      </c>
      <c r="W205" s="26"/>
      <c r="X205" s="27">
        <v>44508</v>
      </c>
      <c r="AG205" s="37"/>
    </row>
    <row r="206" spans="1:41" x14ac:dyDescent="0.25">
      <c r="A206" s="4" t="s">
        <v>308</v>
      </c>
      <c r="B206" s="4" t="s">
        <v>308</v>
      </c>
      <c r="C206" s="4" t="s">
        <v>362</v>
      </c>
      <c r="D206" s="14">
        <v>44508</v>
      </c>
      <c r="F206" s="4">
        <f t="shared" si="230"/>
        <v>11</v>
      </c>
      <c r="G206" s="4">
        <f t="shared" si="231"/>
        <v>8</v>
      </c>
      <c r="H206" s="4">
        <f t="shared" si="232"/>
        <v>2021</v>
      </c>
      <c r="I206" s="24">
        <v>0.54166666666666663</v>
      </c>
      <c r="J206" s="4">
        <v>42.860999999999997</v>
      </c>
      <c r="K206" s="4">
        <v>69.861000000000004</v>
      </c>
      <c r="L206" s="28" t="s">
        <v>194</v>
      </c>
      <c r="M206" s="4" t="s">
        <v>32</v>
      </c>
      <c r="N206" s="4">
        <v>200</v>
      </c>
      <c r="O206" s="4">
        <v>255</v>
      </c>
      <c r="P206" s="4">
        <v>260</v>
      </c>
      <c r="R206" s="4">
        <v>0.44180000000000003</v>
      </c>
      <c r="S206" s="7">
        <f t="shared" si="212"/>
        <v>112.65900000000001</v>
      </c>
      <c r="T206" s="4">
        <v>0.5</v>
      </c>
      <c r="U206" s="6">
        <v>2.5199999999999996</v>
      </c>
      <c r="V206" s="6">
        <f t="shared" si="213"/>
        <v>5.7039384336803973</v>
      </c>
      <c r="W206" s="26">
        <f>(41.8+39.3)/2</f>
        <v>40.549999999999997</v>
      </c>
      <c r="X206" s="27">
        <v>44508</v>
      </c>
      <c r="Y206" s="7" t="s">
        <v>289</v>
      </c>
      <c r="Z206" s="7">
        <v>0</v>
      </c>
      <c r="AA206" s="7">
        <v>0</v>
      </c>
      <c r="AB206" s="7">
        <v>95</v>
      </c>
      <c r="AC206" s="7">
        <v>2287</v>
      </c>
      <c r="AD206" s="7">
        <v>8809</v>
      </c>
      <c r="AE206" s="7">
        <v>184</v>
      </c>
      <c r="AF206" s="7">
        <v>0</v>
      </c>
      <c r="AG206" s="37">
        <f t="shared" si="163"/>
        <v>11375</v>
      </c>
      <c r="AH206" s="29">
        <f t="shared" ref="AH206:AH207" si="233">SUM(Z206:AF206)</f>
        <v>11375</v>
      </c>
      <c r="AI206">
        <f t="shared" ref="AI206:AI207" si="234">1*Z206</f>
        <v>0</v>
      </c>
      <c r="AJ206">
        <f t="shared" ref="AJ206:AJ207" si="235">2*AA206</f>
        <v>0</v>
      </c>
      <c r="AK206">
        <f t="shared" ref="AK206:AK207" si="236">3*AB206</f>
        <v>285</v>
      </c>
      <c r="AL206">
        <f t="shared" ref="AL206:AL207" si="237">4*AC206</f>
        <v>9148</v>
      </c>
      <c r="AM206">
        <f t="shared" ref="AM206:AM207" si="238">5*AD206</f>
        <v>44045</v>
      </c>
      <c r="AN206">
        <f t="shared" ref="AN206:AN207" si="239">6*(AE206+AF206)</f>
        <v>1104</v>
      </c>
      <c r="AO206" s="40">
        <f t="shared" ref="AO206:AO207" si="240">SUM(AI206:AN206)/AH206</f>
        <v>4.7984175824175823</v>
      </c>
    </row>
    <row r="207" spans="1:41" x14ac:dyDescent="0.25">
      <c r="A207" s="4" t="s">
        <v>309</v>
      </c>
      <c r="B207" s="4" t="s">
        <v>309</v>
      </c>
      <c r="C207" s="4" t="s">
        <v>362</v>
      </c>
      <c r="D207" s="14">
        <v>44664</v>
      </c>
      <c r="F207" s="4">
        <f t="shared" si="230"/>
        <v>4</v>
      </c>
      <c r="G207" s="4">
        <f t="shared" si="231"/>
        <v>13</v>
      </c>
      <c r="H207" s="4">
        <f t="shared" si="232"/>
        <v>2022</v>
      </c>
      <c r="J207" s="4">
        <v>42.860999999999997</v>
      </c>
      <c r="K207" s="4">
        <v>69.861000000000004</v>
      </c>
      <c r="L207" s="28" t="s">
        <v>152</v>
      </c>
      <c r="M207" s="4" t="s">
        <v>32</v>
      </c>
      <c r="N207" s="4">
        <v>200</v>
      </c>
      <c r="O207" s="4">
        <v>253</v>
      </c>
      <c r="P207" s="4">
        <v>259</v>
      </c>
      <c r="R207" s="4">
        <v>0.44180000000000003</v>
      </c>
      <c r="S207" s="7">
        <f t="shared" si="212"/>
        <v>111.7754</v>
      </c>
      <c r="T207" s="4">
        <v>0.5</v>
      </c>
      <c r="U207" s="6">
        <v>2.4580000000000002</v>
      </c>
      <c r="V207" s="6">
        <v>5.5863636363636369</v>
      </c>
      <c r="W207" s="7">
        <f>(60.8+62.5)/2</f>
        <v>61.65</v>
      </c>
      <c r="X207" s="27">
        <v>44664</v>
      </c>
      <c r="Y207" s="7" t="s">
        <v>289</v>
      </c>
      <c r="Z207" s="7">
        <v>4681</v>
      </c>
      <c r="AA207" s="7">
        <v>4130</v>
      </c>
      <c r="AB207" s="7">
        <v>4681</v>
      </c>
      <c r="AC207" s="7">
        <v>6420</v>
      </c>
      <c r="AD207" s="7">
        <v>5441</v>
      </c>
      <c r="AE207" s="7">
        <v>4466</v>
      </c>
      <c r="AF207" s="7">
        <v>1392</v>
      </c>
      <c r="AG207" s="37">
        <f t="shared" si="163"/>
        <v>22400</v>
      </c>
      <c r="AH207" s="29">
        <f t="shared" si="233"/>
        <v>31211</v>
      </c>
      <c r="AI207">
        <f t="shared" si="234"/>
        <v>4681</v>
      </c>
      <c r="AJ207">
        <f t="shared" si="235"/>
        <v>8260</v>
      </c>
      <c r="AK207">
        <f t="shared" si="236"/>
        <v>14043</v>
      </c>
      <c r="AL207">
        <f t="shared" si="237"/>
        <v>25680</v>
      </c>
      <c r="AM207">
        <f t="shared" si="238"/>
        <v>27205</v>
      </c>
      <c r="AN207">
        <f t="shared" si="239"/>
        <v>35148</v>
      </c>
      <c r="AO207" s="40">
        <f t="shared" si="240"/>
        <v>3.6851430585370544</v>
      </c>
    </row>
    <row r="208" spans="1:41" x14ac:dyDescent="0.25">
      <c r="A208" s="4" t="s">
        <v>318</v>
      </c>
      <c r="B208" s="4" t="s">
        <v>318</v>
      </c>
      <c r="C208" s="4" t="s">
        <v>362</v>
      </c>
      <c r="D208" s="14">
        <v>44664</v>
      </c>
      <c r="E208" s="14"/>
      <c r="F208" s="4">
        <v>4</v>
      </c>
      <c r="G208" s="4">
        <v>13</v>
      </c>
      <c r="H208" s="4">
        <v>2022</v>
      </c>
      <c r="J208" s="4">
        <v>42.860999999999997</v>
      </c>
      <c r="K208" s="4">
        <v>69.861000000000004</v>
      </c>
      <c r="L208" s="4" t="s">
        <v>194</v>
      </c>
      <c r="M208" s="4" t="s">
        <v>32</v>
      </c>
      <c r="N208" s="4">
        <v>200</v>
      </c>
      <c r="O208" s="4">
        <v>250</v>
      </c>
      <c r="P208" s="4">
        <v>257</v>
      </c>
      <c r="R208" s="4">
        <v>0.44180000000000003</v>
      </c>
      <c r="S208" s="7">
        <v>110.45</v>
      </c>
      <c r="T208" s="4">
        <v>0.5</v>
      </c>
      <c r="U208" s="6">
        <v>2.4079999999999999</v>
      </c>
      <c r="V208" s="6">
        <v>5.4504300588501584</v>
      </c>
    </row>
    <row r="209" spans="1:46" x14ac:dyDescent="0.25">
      <c r="A209" s="4" t="s">
        <v>310</v>
      </c>
      <c r="B209" s="4" t="s">
        <v>310</v>
      </c>
      <c r="C209" s="4" t="s">
        <v>362</v>
      </c>
      <c r="D209" s="14">
        <v>44713</v>
      </c>
      <c r="F209" s="4">
        <f t="shared" si="230"/>
        <v>6</v>
      </c>
      <c r="G209" s="4">
        <f t="shared" si="231"/>
        <v>1</v>
      </c>
      <c r="H209" s="4">
        <f t="shared" si="232"/>
        <v>2022</v>
      </c>
      <c r="J209" s="4">
        <v>42.87</v>
      </c>
      <c r="K209" s="4">
        <v>69.87</v>
      </c>
      <c r="L209" s="28" t="s">
        <v>152</v>
      </c>
      <c r="M209" s="4" t="s">
        <v>32</v>
      </c>
      <c r="N209" s="4">
        <v>200</v>
      </c>
      <c r="O209" s="4">
        <v>253</v>
      </c>
      <c r="P209" s="4">
        <v>259</v>
      </c>
      <c r="R209" s="4">
        <v>0.44180000000000003</v>
      </c>
      <c r="S209" s="7">
        <f t="shared" si="212"/>
        <v>111.7754</v>
      </c>
      <c r="T209" s="4">
        <v>0.5</v>
      </c>
      <c r="U209" s="6">
        <v>5.1559999999999997</v>
      </c>
      <c r="V209" s="6">
        <v>11.670439112720686</v>
      </c>
      <c r="W209" s="7">
        <v>40</v>
      </c>
      <c r="X209" s="27">
        <v>44713</v>
      </c>
      <c r="Y209" s="7" t="s">
        <v>289</v>
      </c>
      <c r="Z209" s="7">
        <v>11770</v>
      </c>
      <c r="AA209" s="7">
        <v>13762</v>
      </c>
      <c r="AB209" s="7">
        <v>12675</v>
      </c>
      <c r="AC209" s="7">
        <v>19013</v>
      </c>
      <c r="AD209" s="7">
        <v>23902</v>
      </c>
      <c r="AE209" s="7">
        <v>1630</v>
      </c>
      <c r="AF209" s="7">
        <v>1992</v>
      </c>
      <c r="AG209" s="37">
        <f t="shared" ref="AG209:AG216" si="241">SUM(AB209:AF209)</f>
        <v>59212</v>
      </c>
      <c r="AH209" s="29">
        <f>SUM(Z209:AF209)</f>
        <v>84744</v>
      </c>
      <c r="AI209">
        <f>1*Z209</f>
        <v>11770</v>
      </c>
      <c r="AJ209">
        <f>2*AA209</f>
        <v>27524</v>
      </c>
      <c r="AK209">
        <f>3*AB209</f>
        <v>38025</v>
      </c>
      <c r="AL209">
        <f>4*AC209</f>
        <v>76052</v>
      </c>
      <c r="AM209">
        <f>5*AD209</f>
        <v>119510</v>
      </c>
      <c r="AN209">
        <f>6*(AE209+AF209)</f>
        <v>21732</v>
      </c>
      <c r="AO209" s="40">
        <f>SUM(AI209:AN209)/AH209</f>
        <v>3.4765057113187954</v>
      </c>
    </row>
    <row r="210" spans="1:46" x14ac:dyDescent="0.25">
      <c r="A210" s="4" t="s">
        <v>310</v>
      </c>
      <c r="B210" s="4" t="s">
        <v>310</v>
      </c>
      <c r="C210" s="4" t="s">
        <v>362</v>
      </c>
      <c r="D210" s="14">
        <v>44713</v>
      </c>
      <c r="E210" s="14"/>
      <c r="F210" s="4">
        <v>6</v>
      </c>
      <c r="G210" s="4">
        <v>1</v>
      </c>
      <c r="H210" s="4">
        <v>2022</v>
      </c>
      <c r="J210" s="4">
        <v>42.87</v>
      </c>
      <c r="K210" s="4">
        <v>69.87</v>
      </c>
      <c r="L210" s="4" t="s">
        <v>194</v>
      </c>
      <c r="N210" s="4">
        <v>200</v>
      </c>
      <c r="O210" s="4">
        <v>250</v>
      </c>
      <c r="P210" s="4">
        <v>257</v>
      </c>
      <c r="R210" s="4">
        <v>0.44180000000000003</v>
      </c>
      <c r="S210" s="7">
        <v>110</v>
      </c>
      <c r="T210" s="4">
        <v>0.5</v>
      </c>
      <c r="U210" s="6">
        <v>5.3579999999999997</v>
      </c>
      <c r="V210" s="6">
        <v>12.177272727272726</v>
      </c>
    </row>
    <row r="211" spans="1:46" x14ac:dyDescent="0.25">
      <c r="A211" s="4" t="s">
        <v>311</v>
      </c>
      <c r="B211" s="4" t="s">
        <v>311</v>
      </c>
      <c r="C211" s="4" t="s">
        <v>362</v>
      </c>
      <c r="D211" s="14">
        <v>44726</v>
      </c>
      <c r="F211" s="4">
        <f t="shared" si="230"/>
        <v>6</v>
      </c>
      <c r="G211" s="4">
        <f t="shared" si="231"/>
        <v>14</v>
      </c>
      <c r="H211" s="4">
        <f t="shared" si="232"/>
        <v>2022</v>
      </c>
      <c r="J211" s="4">
        <v>42.859000000000002</v>
      </c>
      <c r="K211" s="4">
        <v>69.858000000000004</v>
      </c>
      <c r="L211" s="28" t="s">
        <v>152</v>
      </c>
      <c r="M211" s="4" t="s">
        <v>32</v>
      </c>
      <c r="N211" s="4">
        <v>200</v>
      </c>
      <c r="O211" s="4">
        <v>253</v>
      </c>
      <c r="P211" s="4">
        <v>259</v>
      </c>
      <c r="R211" s="4">
        <v>0.44180000000000003</v>
      </c>
      <c r="S211" s="7">
        <f t="shared" si="212"/>
        <v>111.7754</v>
      </c>
      <c r="T211" s="4">
        <v>0.5</v>
      </c>
      <c r="U211" s="6">
        <v>7.7060000000000004</v>
      </c>
      <c r="V211" s="6">
        <v>17.442281575373471</v>
      </c>
      <c r="W211" s="7">
        <v>86.6</v>
      </c>
      <c r="X211" s="27">
        <v>44726</v>
      </c>
      <c r="Y211" s="7" t="s">
        <v>289</v>
      </c>
      <c r="Z211" s="7">
        <v>784</v>
      </c>
      <c r="AA211" s="7">
        <v>10581</v>
      </c>
      <c r="AB211" s="7">
        <v>16852</v>
      </c>
      <c r="AC211" s="7">
        <v>20771</v>
      </c>
      <c r="AD211" s="7">
        <v>40758</v>
      </c>
      <c r="AE211" s="7">
        <v>1960</v>
      </c>
      <c r="AF211" s="7">
        <v>0</v>
      </c>
      <c r="AG211" s="37">
        <f t="shared" si="241"/>
        <v>80341</v>
      </c>
      <c r="AH211" s="29">
        <f>SUM(Z211:AF211)</f>
        <v>91706</v>
      </c>
      <c r="AI211">
        <f>1*Z211</f>
        <v>784</v>
      </c>
      <c r="AJ211">
        <f>2*AA211</f>
        <v>21162</v>
      </c>
      <c r="AK211">
        <f>3*AB211</f>
        <v>50556</v>
      </c>
      <c r="AL211">
        <f>4*AC211</f>
        <v>83084</v>
      </c>
      <c r="AM211">
        <f>5*AD211</f>
        <v>203790</v>
      </c>
      <c r="AN211">
        <f>6*(AE211+AF211)</f>
        <v>11760</v>
      </c>
      <c r="AO211" s="40">
        <f>SUM(AI211:AN211)/AH211</f>
        <v>4.0470198242208797</v>
      </c>
    </row>
    <row r="212" spans="1:46" x14ac:dyDescent="0.25">
      <c r="A212" s="4" t="s">
        <v>311</v>
      </c>
      <c r="B212" s="4" t="s">
        <v>311</v>
      </c>
      <c r="C212" s="4" t="s">
        <v>362</v>
      </c>
      <c r="D212" s="14">
        <v>44726</v>
      </c>
      <c r="E212" s="14"/>
      <c r="F212" s="4">
        <v>6</v>
      </c>
      <c r="G212" s="4">
        <v>14</v>
      </c>
      <c r="H212" s="4">
        <v>2022</v>
      </c>
      <c r="J212" s="4">
        <v>42.859000000000002</v>
      </c>
      <c r="K212" s="4">
        <v>69.858000000000004</v>
      </c>
      <c r="L212" s="4" t="s">
        <v>194</v>
      </c>
      <c r="N212" s="4">
        <v>200</v>
      </c>
      <c r="O212" s="4">
        <v>250</v>
      </c>
      <c r="P212" s="4">
        <v>257</v>
      </c>
      <c r="R212" s="4">
        <v>0.44180000000000003</v>
      </c>
      <c r="S212" s="7">
        <v>110</v>
      </c>
      <c r="T212" s="4">
        <v>0.5</v>
      </c>
      <c r="U212" s="6">
        <v>7.1479999999999997</v>
      </c>
      <c r="V212" s="6">
        <v>16.245454545454546</v>
      </c>
    </row>
    <row r="213" spans="1:46" x14ac:dyDescent="0.25">
      <c r="A213" s="4" t="s">
        <v>312</v>
      </c>
      <c r="B213" s="4" t="s">
        <v>312</v>
      </c>
      <c r="C213" s="4" t="s">
        <v>362</v>
      </c>
      <c r="D213" s="14">
        <v>44760</v>
      </c>
      <c r="F213" s="4">
        <v>7</v>
      </c>
      <c r="G213" s="4">
        <v>18</v>
      </c>
      <c r="H213" s="4">
        <f t="shared" si="232"/>
        <v>2022</v>
      </c>
      <c r="J213" s="4">
        <v>42.863</v>
      </c>
      <c r="K213" s="4">
        <v>69.861000000000004</v>
      </c>
      <c r="L213" s="28" t="s">
        <v>152</v>
      </c>
      <c r="M213" s="4" t="s">
        <v>32</v>
      </c>
      <c r="N213" s="4">
        <v>200</v>
      </c>
      <c r="O213" s="4">
        <v>253</v>
      </c>
      <c r="P213" s="4">
        <v>259</v>
      </c>
      <c r="R213" s="4">
        <v>0.44180000000000003</v>
      </c>
      <c r="S213" s="7">
        <f>R213*O213</f>
        <v>111.7754</v>
      </c>
      <c r="T213" s="4">
        <v>0.5</v>
      </c>
      <c r="U213" s="6">
        <v>8.1700000000000017</v>
      </c>
      <c r="V213" s="6">
        <v>18.56818181818182</v>
      </c>
      <c r="W213" s="7">
        <v>62.5</v>
      </c>
      <c r="X213" s="27">
        <v>44760</v>
      </c>
      <c r="Y213" s="7" t="s">
        <v>289</v>
      </c>
      <c r="Z213" s="7">
        <v>565.86690810321409</v>
      </c>
      <c r="AA213" s="7">
        <v>565.86690810321409</v>
      </c>
      <c r="AB213" s="7">
        <v>1697.6007243096424</v>
      </c>
      <c r="AC213" s="7">
        <v>20937.075599818923</v>
      </c>
      <c r="AD213" s="7">
        <v>55172.023540063376</v>
      </c>
      <c r="AE213" s="7">
        <v>1980.5341783612494</v>
      </c>
      <c r="AF213" s="7">
        <v>0</v>
      </c>
      <c r="AG213" s="37">
        <f t="shared" si="241"/>
        <v>79787.234042553187</v>
      </c>
      <c r="AH213" s="29">
        <f>SUM(Z213:AF213)</f>
        <v>80918.967858759614</v>
      </c>
      <c r="AI213">
        <f>1*Z213</f>
        <v>565.86690810321409</v>
      </c>
      <c r="AJ213">
        <f>2*AA213</f>
        <v>1131.7338162064282</v>
      </c>
      <c r="AK213">
        <f>3*AB213</f>
        <v>5092.8021729289267</v>
      </c>
      <c r="AL213">
        <f>4*AC213</f>
        <v>83748.302399275693</v>
      </c>
      <c r="AM213">
        <f>5*AD213</f>
        <v>275860.11770031689</v>
      </c>
      <c r="AN213">
        <f>6*(AE213+AF213)</f>
        <v>11883.205070167496</v>
      </c>
      <c r="AO213" s="40">
        <f>SUM(AI213:AN213)/AH213</f>
        <v>4.674825174825175</v>
      </c>
    </row>
    <row r="214" spans="1:46" x14ac:dyDescent="0.25">
      <c r="A214" s="4" t="s">
        <v>319</v>
      </c>
      <c r="B214" s="4" t="s">
        <v>319</v>
      </c>
      <c r="C214" s="4" t="s">
        <v>362</v>
      </c>
      <c r="D214" s="14">
        <v>44760</v>
      </c>
      <c r="E214" s="14"/>
      <c r="F214" s="4">
        <v>7</v>
      </c>
      <c r="G214" s="4">
        <v>18</v>
      </c>
      <c r="H214" s="4">
        <v>2022</v>
      </c>
      <c r="J214" s="4">
        <v>42.863</v>
      </c>
      <c r="K214" s="4">
        <v>69.861000000000004</v>
      </c>
      <c r="L214" s="4" t="s">
        <v>194</v>
      </c>
      <c r="M214" s="4" t="s">
        <v>32</v>
      </c>
      <c r="N214" s="4">
        <v>200</v>
      </c>
      <c r="O214" s="4">
        <v>250</v>
      </c>
      <c r="P214" s="4">
        <v>257</v>
      </c>
      <c r="R214" s="4">
        <v>0.44180000000000003</v>
      </c>
      <c r="S214" s="7">
        <v>110.45</v>
      </c>
      <c r="T214" s="4">
        <v>0.5</v>
      </c>
      <c r="U214" s="6">
        <v>7.0540000000000003</v>
      </c>
      <c r="V214" s="6">
        <v>15.966500679040291</v>
      </c>
    </row>
    <row r="215" spans="1:46" x14ac:dyDescent="0.25">
      <c r="A215" s="4" t="s">
        <v>313</v>
      </c>
      <c r="B215" s="4" t="s">
        <v>313</v>
      </c>
      <c r="C215" s="4" t="s">
        <v>362</v>
      </c>
      <c r="D215" s="14">
        <v>44794</v>
      </c>
      <c r="F215" s="4">
        <v>8</v>
      </c>
      <c r="G215" s="4">
        <v>21</v>
      </c>
      <c r="H215" s="4">
        <f t="shared" si="232"/>
        <v>2022</v>
      </c>
      <c r="J215" s="4">
        <v>42.86</v>
      </c>
      <c r="K215" s="4">
        <v>69.863</v>
      </c>
      <c r="L215" s="28" t="s">
        <v>152</v>
      </c>
      <c r="M215" s="4" t="s">
        <v>32</v>
      </c>
      <c r="N215" s="4">
        <v>200</v>
      </c>
      <c r="O215" s="4">
        <v>253</v>
      </c>
      <c r="P215" s="4">
        <v>259</v>
      </c>
      <c r="R215" s="4">
        <v>0.44180000000000003</v>
      </c>
      <c r="S215" s="7">
        <f>R215*O215</f>
        <v>111.7754</v>
      </c>
      <c r="T215" s="4">
        <v>0.5</v>
      </c>
      <c r="U215" s="6">
        <v>9.9639999999999986</v>
      </c>
      <c r="V215" s="6">
        <v>22.645454545454541</v>
      </c>
      <c r="W215" s="7">
        <v>57.142857142857146</v>
      </c>
      <c r="X215" s="27">
        <v>44794</v>
      </c>
      <c r="Y215" s="7" t="s">
        <v>289</v>
      </c>
      <c r="Z215" s="7">
        <v>0</v>
      </c>
      <c r="AA215" s="7">
        <v>517.36403026579569</v>
      </c>
      <c r="AB215" s="7">
        <v>1293.4100756644893</v>
      </c>
      <c r="AC215" s="7">
        <v>8277.8244842527311</v>
      </c>
      <c r="AD215" s="7">
        <v>58979.499450300726</v>
      </c>
      <c r="AE215" s="7">
        <v>258.68201513289785</v>
      </c>
      <c r="AF215" s="7">
        <v>258.68201513289785</v>
      </c>
      <c r="AG215" s="37">
        <f t="shared" si="241"/>
        <v>69068.098040483746</v>
      </c>
      <c r="AH215" s="29">
        <f t="shared" ref="AH215:AH216" si="242">SUM(Z215:AF215)</f>
        <v>69585.462070749549</v>
      </c>
      <c r="AI215">
        <f t="shared" ref="AI215:AI216" si="243">1*Z215</f>
        <v>0</v>
      </c>
      <c r="AJ215">
        <f t="shared" ref="AJ215:AJ216" si="244">2*AA215</f>
        <v>1034.7280605315914</v>
      </c>
      <c r="AK215">
        <f t="shared" ref="AK215:AK216" si="245">3*AB215</f>
        <v>3880.230226993468</v>
      </c>
      <c r="AL215">
        <f t="shared" ref="AL215:AL216" si="246">4*AC215</f>
        <v>33111.297937010924</v>
      </c>
      <c r="AM215">
        <f t="shared" ref="AM215:AM216" si="247">5*AD215</f>
        <v>294897.49725150364</v>
      </c>
      <c r="AN215">
        <f t="shared" ref="AN215:AN216" si="248">6*(AE215+AF215)</f>
        <v>3104.1841815947741</v>
      </c>
      <c r="AO215" s="40">
        <f t="shared" ref="AO215:AO216" si="249">SUM(AI215:AN215)/AH215</f>
        <v>4.8289962825278803</v>
      </c>
    </row>
    <row r="216" spans="1:46" x14ac:dyDescent="0.25">
      <c r="A216" s="4" t="s">
        <v>314</v>
      </c>
      <c r="B216" s="4" t="s">
        <v>314</v>
      </c>
      <c r="C216" s="4" t="s">
        <v>362</v>
      </c>
      <c r="D216" s="14">
        <v>44834</v>
      </c>
      <c r="F216" s="4">
        <v>9</v>
      </c>
      <c r="G216" s="4">
        <v>30</v>
      </c>
      <c r="H216" s="4">
        <f t="shared" si="232"/>
        <v>2022</v>
      </c>
      <c r="J216" s="4">
        <v>42.86</v>
      </c>
      <c r="K216" s="4">
        <v>69.879000000000005</v>
      </c>
      <c r="L216" s="28" t="s">
        <v>152</v>
      </c>
      <c r="M216" s="4" t="s">
        <v>32</v>
      </c>
      <c r="N216" s="4">
        <v>200</v>
      </c>
      <c r="O216" s="4">
        <v>253</v>
      </c>
      <c r="P216" s="4">
        <v>259</v>
      </c>
      <c r="R216" s="4">
        <v>0.44180000000000003</v>
      </c>
      <c r="S216" s="7">
        <f>R216*O216</f>
        <v>111.7754</v>
      </c>
      <c r="T216" s="4">
        <v>0.5</v>
      </c>
      <c r="W216" s="7">
        <v>58.252427184466022</v>
      </c>
      <c r="X216" s="27">
        <v>44834</v>
      </c>
      <c r="Y216" s="7" t="s">
        <v>289</v>
      </c>
      <c r="Z216" s="7">
        <v>0</v>
      </c>
      <c r="AA216" s="7">
        <v>527.40993376610243</v>
      </c>
      <c r="AB216" s="7">
        <v>791.1149006491537</v>
      </c>
      <c r="AC216" s="7">
        <v>1582.2298012983074</v>
      </c>
      <c r="AD216" s="7">
        <v>22678.627151942408</v>
      </c>
      <c r="AE216" s="7">
        <v>263.70496688305121</v>
      </c>
      <c r="AF216" s="7">
        <v>0</v>
      </c>
      <c r="AG216" s="37">
        <f t="shared" si="241"/>
        <v>25315.676820772922</v>
      </c>
      <c r="AH216" s="29">
        <f t="shared" si="242"/>
        <v>25843.086754539021</v>
      </c>
      <c r="AI216">
        <f t="shared" si="243"/>
        <v>0</v>
      </c>
      <c r="AJ216">
        <f t="shared" si="244"/>
        <v>1054.8198675322049</v>
      </c>
      <c r="AK216">
        <f t="shared" si="245"/>
        <v>2373.3447019474611</v>
      </c>
      <c r="AL216">
        <f t="shared" si="246"/>
        <v>6328.9192051932296</v>
      </c>
      <c r="AM216">
        <f t="shared" si="247"/>
        <v>113393.13575971204</v>
      </c>
      <c r="AN216">
        <f t="shared" si="248"/>
        <v>1582.2298012983074</v>
      </c>
      <c r="AO216" s="40">
        <f t="shared" si="249"/>
        <v>4.8265306122448983</v>
      </c>
    </row>
    <row r="217" spans="1:46" x14ac:dyDescent="0.25">
      <c r="A217" s="4" t="s">
        <v>320</v>
      </c>
      <c r="B217" s="4" t="s">
        <v>320</v>
      </c>
      <c r="C217" s="4" t="s">
        <v>362</v>
      </c>
      <c r="D217" s="14">
        <v>44834</v>
      </c>
      <c r="E217" s="14"/>
      <c r="F217" s="4">
        <v>9</v>
      </c>
      <c r="G217" s="4">
        <v>30</v>
      </c>
      <c r="H217" s="4">
        <v>2022</v>
      </c>
      <c r="J217" s="4">
        <v>42.86</v>
      </c>
      <c r="K217" s="4">
        <v>69.879000000000005</v>
      </c>
      <c r="L217" s="4" t="s">
        <v>287</v>
      </c>
      <c r="N217" s="4">
        <v>200</v>
      </c>
      <c r="O217" s="4">
        <v>250</v>
      </c>
      <c r="P217" s="4">
        <v>257</v>
      </c>
      <c r="R217" s="4">
        <v>0.44180000000000003</v>
      </c>
      <c r="S217" s="7">
        <v>110</v>
      </c>
      <c r="T217" s="4">
        <v>0.5</v>
      </c>
      <c r="U217" s="6">
        <v>6.1700000000000017</v>
      </c>
      <c r="V217" s="6">
        <v>14.022727272727277</v>
      </c>
    </row>
    <row r="218" spans="1:46" x14ac:dyDescent="0.25">
      <c r="A218" s="4" t="s">
        <v>316</v>
      </c>
      <c r="B218" s="4" t="s">
        <v>316</v>
      </c>
      <c r="C218" s="4" t="s">
        <v>362</v>
      </c>
      <c r="D218" s="14">
        <v>44867</v>
      </c>
      <c r="F218" s="4">
        <v>11</v>
      </c>
      <c r="G218" s="4">
        <v>2</v>
      </c>
      <c r="H218" s="4">
        <v>2022</v>
      </c>
      <c r="J218" s="4">
        <v>42.862000000000002</v>
      </c>
      <c r="K218" s="4">
        <v>69.861000000000004</v>
      </c>
      <c r="L218" s="4" t="s">
        <v>287</v>
      </c>
      <c r="M218" s="4" t="s">
        <v>32</v>
      </c>
      <c r="N218" s="4">
        <v>200</v>
      </c>
      <c r="O218" s="4">
        <v>253</v>
      </c>
      <c r="P218" s="4">
        <v>258</v>
      </c>
      <c r="R218" s="4">
        <v>0.44180000000000003</v>
      </c>
      <c r="S218" s="7">
        <v>111.7754</v>
      </c>
      <c r="T218" s="4">
        <v>0.5</v>
      </c>
      <c r="U218" s="30"/>
      <c r="V218" s="30"/>
      <c r="W218" s="4">
        <v>40</v>
      </c>
      <c r="X218" s="27">
        <v>44867</v>
      </c>
      <c r="Y218" s="7" t="s">
        <v>289</v>
      </c>
      <c r="Z218" s="4">
        <v>0</v>
      </c>
      <c r="AA218" s="7">
        <v>0</v>
      </c>
      <c r="AB218" s="7">
        <v>362.15482118605701</v>
      </c>
      <c r="AC218" s="7">
        <v>1448.619284744228</v>
      </c>
      <c r="AD218" s="7">
        <v>17383.431416930736</v>
      </c>
      <c r="AE218" s="7">
        <v>543.23223177908551</v>
      </c>
      <c r="AF218" s="7">
        <v>362.15482118605701</v>
      </c>
      <c r="AG218" s="37">
        <v>20099.592575826166</v>
      </c>
      <c r="AH218" s="29">
        <f t="shared" ref="AH218:AH219" si="250">SUM(Z218:AF218)</f>
        <v>20099.592575826166</v>
      </c>
      <c r="AI218">
        <f t="shared" ref="AI218:AI223" si="251">1*Z218</f>
        <v>0</v>
      </c>
      <c r="AJ218">
        <f t="shared" ref="AJ218:AJ223" si="252">2*AA218</f>
        <v>0</v>
      </c>
      <c r="AK218">
        <f t="shared" ref="AK218:AK223" si="253">3*AB218</f>
        <v>1086.464463558171</v>
      </c>
      <c r="AL218">
        <f t="shared" ref="AL218:AL223" si="254">4*AC218</f>
        <v>5794.4771389769121</v>
      </c>
      <c r="AM218">
        <f t="shared" ref="AM218:AM223" si="255">5*AD218</f>
        <v>86917.157084653678</v>
      </c>
      <c r="AN218">
        <f t="shared" ref="AN218:AN223" si="256">6*(AE218+AF218)</f>
        <v>5432.3223177908549</v>
      </c>
      <c r="AO218" s="40">
        <f t="shared" ref="AO218:AO223" si="257">SUM(AI218:AN218)/AH218</f>
        <v>4.9369369369369362</v>
      </c>
      <c r="AP218" s="7"/>
      <c r="AQ218" s="7"/>
      <c r="AR218" s="7"/>
      <c r="AS218" s="7"/>
      <c r="AT218" s="4"/>
    </row>
    <row r="219" spans="1:46" x14ac:dyDescent="0.25">
      <c r="A219" s="4" t="s">
        <v>317</v>
      </c>
      <c r="B219" s="4" t="s">
        <v>317</v>
      </c>
      <c r="C219" s="4" t="s">
        <v>362</v>
      </c>
      <c r="D219" s="14">
        <v>44880</v>
      </c>
      <c r="F219" s="4">
        <v>11</v>
      </c>
      <c r="G219" s="4">
        <v>15</v>
      </c>
      <c r="H219" s="4">
        <v>2022</v>
      </c>
      <c r="J219" s="4">
        <v>42.86</v>
      </c>
      <c r="K219" s="4">
        <v>69.863</v>
      </c>
      <c r="L219" s="4" t="s">
        <v>152</v>
      </c>
      <c r="M219" s="4" t="s">
        <v>32</v>
      </c>
      <c r="N219" s="4">
        <v>200</v>
      </c>
      <c r="O219" s="4">
        <v>253</v>
      </c>
      <c r="P219" s="4">
        <v>257</v>
      </c>
      <c r="R219" s="4">
        <v>0.44180000000000003</v>
      </c>
      <c r="S219" s="7">
        <v>111.7754</v>
      </c>
      <c r="T219" s="4">
        <v>0.5</v>
      </c>
      <c r="U219" s="30"/>
      <c r="V219" s="30"/>
      <c r="W219" s="4">
        <v>38</v>
      </c>
      <c r="X219" s="27">
        <v>44880</v>
      </c>
      <c r="Y219" s="7" t="s">
        <v>289</v>
      </c>
      <c r="Z219" s="4">
        <v>0</v>
      </c>
      <c r="AA219" s="7">
        <v>0</v>
      </c>
      <c r="AB219" s="7">
        <v>0</v>
      </c>
      <c r="AC219" s="7">
        <v>1708.9180624717064</v>
      </c>
      <c r="AD219" s="7">
        <v>17943.63965595292</v>
      </c>
      <c r="AE219" s="7">
        <v>0</v>
      </c>
      <c r="AF219" s="7">
        <v>0</v>
      </c>
      <c r="AG219" s="37">
        <v>19652.557718424629</v>
      </c>
      <c r="AH219" s="29">
        <f t="shared" si="250"/>
        <v>19652.557718424629</v>
      </c>
      <c r="AI219">
        <f t="shared" si="251"/>
        <v>0</v>
      </c>
      <c r="AJ219">
        <f t="shared" si="252"/>
        <v>0</v>
      </c>
      <c r="AK219">
        <f t="shared" si="253"/>
        <v>0</v>
      </c>
      <c r="AL219">
        <f t="shared" si="254"/>
        <v>6835.6722498868257</v>
      </c>
      <c r="AM219">
        <f t="shared" si="255"/>
        <v>89718.198279764605</v>
      </c>
      <c r="AN219">
        <f t="shared" si="256"/>
        <v>0</v>
      </c>
      <c r="AO219" s="40">
        <f t="shared" si="257"/>
        <v>4.9130434782608701</v>
      </c>
      <c r="AP219" s="7"/>
      <c r="AQ219" s="7"/>
      <c r="AR219" s="7"/>
      <c r="AS219" s="7"/>
      <c r="AT219" s="4"/>
    </row>
    <row r="220" spans="1:46" x14ac:dyDescent="0.25">
      <c r="A220" s="4" t="s">
        <v>321</v>
      </c>
      <c r="B220" s="4" t="s">
        <v>322</v>
      </c>
      <c r="C220" s="4" t="s">
        <v>362</v>
      </c>
      <c r="D220" s="14">
        <v>44951</v>
      </c>
      <c r="F220" s="4">
        <v>1</v>
      </c>
      <c r="G220" s="4">
        <v>25</v>
      </c>
      <c r="H220" s="4">
        <v>2023</v>
      </c>
      <c r="J220" s="4">
        <v>42.862000000000002</v>
      </c>
      <c r="K220" s="4">
        <v>69.864999999999995</v>
      </c>
      <c r="L220" s="4" t="s">
        <v>152</v>
      </c>
      <c r="M220" s="4" t="s">
        <v>32</v>
      </c>
      <c r="N220" s="4">
        <v>200</v>
      </c>
      <c r="O220" s="4">
        <f>P220-6</f>
        <v>250</v>
      </c>
      <c r="P220" s="4">
        <v>256</v>
      </c>
      <c r="R220" s="4">
        <v>0.44180000000000003</v>
      </c>
      <c r="S220" s="7">
        <v>110.45</v>
      </c>
      <c r="T220" s="4">
        <v>0.5</v>
      </c>
      <c r="U220" s="6">
        <v>1.8120000000000001</v>
      </c>
      <c r="V220" s="6">
        <v>4.1014033499320961</v>
      </c>
      <c r="W220" s="7">
        <v>20</v>
      </c>
      <c r="X220" s="27">
        <v>44951</v>
      </c>
      <c r="Y220" s="7" t="s">
        <v>289</v>
      </c>
      <c r="Z220" s="7">
        <v>0</v>
      </c>
      <c r="AA220" s="7">
        <v>0</v>
      </c>
      <c r="AB220" s="7">
        <v>58</v>
      </c>
      <c r="AC220" s="7">
        <v>0</v>
      </c>
      <c r="AD220" s="7">
        <v>3450</v>
      </c>
      <c r="AE220" s="7">
        <v>1030</v>
      </c>
      <c r="AF220" s="7">
        <v>913</v>
      </c>
      <c r="AG220" s="37">
        <f>SUM(AB220:AF220)</f>
        <v>5451</v>
      </c>
      <c r="AH220" s="29">
        <f t="shared" ref="AH220:AH223" si="258">SUM(Z220:AF220)</f>
        <v>5451</v>
      </c>
      <c r="AI220">
        <f t="shared" si="251"/>
        <v>0</v>
      </c>
      <c r="AJ220">
        <f t="shared" si="252"/>
        <v>0</v>
      </c>
      <c r="AK220">
        <f t="shared" si="253"/>
        <v>174</v>
      </c>
      <c r="AL220">
        <f t="shared" si="254"/>
        <v>0</v>
      </c>
      <c r="AM220">
        <f t="shared" si="255"/>
        <v>17250</v>
      </c>
      <c r="AN220">
        <f t="shared" si="256"/>
        <v>11658</v>
      </c>
      <c r="AO220" s="40">
        <f t="shared" si="257"/>
        <v>5.3351678591084202</v>
      </c>
    </row>
    <row r="221" spans="1:46" x14ac:dyDescent="0.25">
      <c r="A221" s="4" t="s">
        <v>321</v>
      </c>
      <c r="B221" s="4" t="s">
        <v>322</v>
      </c>
      <c r="C221" s="4" t="s">
        <v>362</v>
      </c>
      <c r="D221" s="14">
        <v>44951</v>
      </c>
      <c r="F221" s="4">
        <v>1</v>
      </c>
      <c r="G221" s="4">
        <v>25</v>
      </c>
      <c r="H221" s="4">
        <v>2023</v>
      </c>
      <c r="J221" s="4">
        <v>42.862000000000002</v>
      </c>
      <c r="K221" s="4">
        <v>69.864999999999995</v>
      </c>
      <c r="L221" s="4" t="s">
        <v>194</v>
      </c>
      <c r="M221" s="4" t="s">
        <v>32</v>
      </c>
      <c r="N221" s="4">
        <v>200</v>
      </c>
      <c r="O221" s="4">
        <f t="shared" ref="O221:O246" si="259">P221-6</f>
        <v>250</v>
      </c>
      <c r="P221" s="4">
        <v>256</v>
      </c>
      <c r="R221" s="4">
        <v>0.44180000000000003</v>
      </c>
      <c r="S221" s="7">
        <v>110.45</v>
      </c>
      <c r="T221" s="4">
        <v>0.5</v>
      </c>
      <c r="U221" s="6">
        <v>1.758</v>
      </c>
      <c r="V221" s="6">
        <v>3.979176097781802</v>
      </c>
      <c r="W221" s="7">
        <v>14</v>
      </c>
      <c r="X221" s="27">
        <v>44951</v>
      </c>
      <c r="Y221" s="7" t="s">
        <v>289</v>
      </c>
      <c r="Z221" s="7">
        <v>0</v>
      </c>
      <c r="AA221" s="7">
        <v>0</v>
      </c>
      <c r="AB221" s="7">
        <v>0</v>
      </c>
      <c r="AC221" s="7">
        <v>129</v>
      </c>
      <c r="AD221" s="7">
        <v>2199</v>
      </c>
      <c r="AE221" s="7">
        <v>1035</v>
      </c>
      <c r="AF221" s="7">
        <v>194</v>
      </c>
      <c r="AG221" s="37">
        <f t="shared" ref="AG221:AG242" si="260">SUM(AB221:AF221)</f>
        <v>3557</v>
      </c>
      <c r="AH221" s="29">
        <f t="shared" si="258"/>
        <v>3557</v>
      </c>
      <c r="AI221">
        <f t="shared" si="251"/>
        <v>0</v>
      </c>
      <c r="AJ221">
        <f t="shared" si="252"/>
        <v>0</v>
      </c>
      <c r="AK221">
        <f t="shared" si="253"/>
        <v>0</v>
      </c>
      <c r="AL221">
        <f t="shared" si="254"/>
        <v>516</v>
      </c>
      <c r="AM221">
        <f t="shared" si="255"/>
        <v>10995</v>
      </c>
      <c r="AN221">
        <f t="shared" si="256"/>
        <v>7374</v>
      </c>
      <c r="AO221" s="40">
        <f t="shared" si="257"/>
        <v>5.3092493674444761</v>
      </c>
    </row>
    <row r="222" spans="1:46" x14ac:dyDescent="0.25">
      <c r="A222" s="4" t="s">
        <v>323</v>
      </c>
      <c r="B222" s="4" t="s">
        <v>324</v>
      </c>
      <c r="C222" s="4" t="s">
        <v>362</v>
      </c>
      <c r="D222" s="14">
        <v>44966</v>
      </c>
      <c r="F222" s="4">
        <v>2</v>
      </c>
      <c r="G222" s="4">
        <v>9</v>
      </c>
      <c r="H222" s="4">
        <v>2023</v>
      </c>
      <c r="J222" s="4">
        <v>42.862000000000002</v>
      </c>
      <c r="K222" s="4">
        <v>69.864999999999995</v>
      </c>
      <c r="L222" s="4" t="s">
        <v>155</v>
      </c>
      <c r="M222" s="4" t="s">
        <v>32</v>
      </c>
      <c r="N222" s="4">
        <v>200</v>
      </c>
      <c r="O222" s="4">
        <f t="shared" si="259"/>
        <v>252</v>
      </c>
      <c r="P222" s="4">
        <v>258</v>
      </c>
      <c r="R222" s="4">
        <v>0.44180000000000003</v>
      </c>
      <c r="S222" s="7">
        <v>110.45</v>
      </c>
      <c r="T222" s="4">
        <v>0.5</v>
      </c>
      <c r="U222" s="6">
        <v>1.8</v>
      </c>
      <c r="V222" s="6">
        <v>4.074241738343142</v>
      </c>
      <c r="W222" s="7">
        <v>27.2</v>
      </c>
      <c r="X222" s="27">
        <v>44966</v>
      </c>
      <c r="Y222" s="7" t="s">
        <v>289</v>
      </c>
      <c r="Z222" s="7">
        <v>123</v>
      </c>
      <c r="AA222" s="7">
        <v>0</v>
      </c>
      <c r="AB222" s="7">
        <v>615</v>
      </c>
      <c r="AC222" s="7">
        <v>123</v>
      </c>
      <c r="AD222" s="7">
        <v>2091</v>
      </c>
      <c r="AE222" s="7">
        <v>4306</v>
      </c>
      <c r="AF222" s="7">
        <v>492</v>
      </c>
      <c r="AG222" s="37">
        <f t="shared" si="260"/>
        <v>7627</v>
      </c>
      <c r="AH222" s="29">
        <f t="shared" si="258"/>
        <v>7750</v>
      </c>
      <c r="AI222">
        <f t="shared" si="251"/>
        <v>123</v>
      </c>
      <c r="AJ222">
        <f t="shared" si="252"/>
        <v>0</v>
      </c>
      <c r="AK222">
        <f t="shared" si="253"/>
        <v>1845</v>
      </c>
      <c r="AL222">
        <f t="shared" si="254"/>
        <v>492</v>
      </c>
      <c r="AM222">
        <f t="shared" si="255"/>
        <v>10455</v>
      </c>
      <c r="AN222">
        <f t="shared" si="256"/>
        <v>28788</v>
      </c>
      <c r="AO222" s="40">
        <f t="shared" si="257"/>
        <v>5.3810322580645158</v>
      </c>
    </row>
    <row r="223" spans="1:46" x14ac:dyDescent="0.25">
      <c r="A223" s="4" t="s">
        <v>325</v>
      </c>
      <c r="B223" s="4" t="s">
        <v>324</v>
      </c>
      <c r="C223" s="4" t="s">
        <v>362</v>
      </c>
      <c r="D223" s="14">
        <v>44966</v>
      </c>
      <c r="F223" s="4">
        <v>2</v>
      </c>
      <c r="G223" s="4">
        <v>9</v>
      </c>
      <c r="H223" s="4">
        <v>2023</v>
      </c>
      <c r="J223" s="4">
        <v>42.862000000000002</v>
      </c>
      <c r="K223" s="4">
        <v>69.864999999999995</v>
      </c>
      <c r="L223" s="4" t="s">
        <v>194</v>
      </c>
      <c r="M223" s="4" t="s">
        <v>32</v>
      </c>
      <c r="N223" s="4">
        <v>200</v>
      </c>
      <c r="O223" s="4">
        <f t="shared" si="259"/>
        <v>252</v>
      </c>
      <c r="P223" s="4">
        <v>258</v>
      </c>
      <c r="R223" s="4">
        <v>0.44180000000000003</v>
      </c>
      <c r="S223" s="7">
        <v>110.45</v>
      </c>
      <c r="T223" s="4">
        <v>0.5</v>
      </c>
      <c r="U223" s="6">
        <v>1.996</v>
      </c>
      <c r="V223" s="6">
        <v>4.5178813942960616</v>
      </c>
      <c r="W223" s="7">
        <v>20.3</v>
      </c>
      <c r="X223" s="27">
        <v>44966</v>
      </c>
      <c r="Y223" s="7" t="s">
        <v>289</v>
      </c>
      <c r="Z223" s="7">
        <v>0</v>
      </c>
      <c r="AA223" s="7">
        <v>0</v>
      </c>
      <c r="AB223" s="7">
        <v>0</v>
      </c>
      <c r="AC223" s="7">
        <v>92</v>
      </c>
      <c r="AD223" s="7">
        <v>1564</v>
      </c>
      <c r="AE223" s="7">
        <v>5061</v>
      </c>
      <c r="AF223" s="7">
        <v>276</v>
      </c>
      <c r="AG223" s="37">
        <f t="shared" si="260"/>
        <v>6993</v>
      </c>
      <c r="AH223" s="29">
        <f t="shared" si="258"/>
        <v>6993</v>
      </c>
      <c r="AI223">
        <f t="shared" si="251"/>
        <v>0</v>
      </c>
      <c r="AJ223">
        <f t="shared" si="252"/>
        <v>0</v>
      </c>
      <c r="AK223">
        <f t="shared" si="253"/>
        <v>0</v>
      </c>
      <c r="AL223">
        <f t="shared" si="254"/>
        <v>368</v>
      </c>
      <c r="AM223">
        <f t="shared" si="255"/>
        <v>7820</v>
      </c>
      <c r="AN223">
        <f t="shared" si="256"/>
        <v>32022</v>
      </c>
      <c r="AO223" s="40">
        <f t="shared" si="257"/>
        <v>5.7500357500357504</v>
      </c>
    </row>
    <row r="224" spans="1:46" x14ac:dyDescent="0.25">
      <c r="A224" s="4" t="s">
        <v>325</v>
      </c>
      <c r="B224" s="4" t="s">
        <v>324</v>
      </c>
      <c r="C224" s="4" t="s">
        <v>362</v>
      </c>
      <c r="D224" s="14">
        <v>44966</v>
      </c>
      <c r="E224" s="14"/>
      <c r="F224" s="4">
        <v>2</v>
      </c>
      <c r="G224" s="4">
        <v>9</v>
      </c>
      <c r="H224" s="4">
        <v>2023</v>
      </c>
      <c r="J224" s="4">
        <v>42.862000000000002</v>
      </c>
      <c r="K224" s="4">
        <v>69.864999999999995</v>
      </c>
      <c r="L224" s="4" t="s">
        <v>152</v>
      </c>
      <c r="M224" s="4" t="s">
        <v>32</v>
      </c>
      <c r="N224" s="4">
        <v>200</v>
      </c>
      <c r="O224" s="4">
        <f t="shared" si="259"/>
        <v>252</v>
      </c>
      <c r="P224" s="4">
        <v>258</v>
      </c>
      <c r="R224" s="4">
        <v>0.44180000000000003</v>
      </c>
      <c r="S224" s="7">
        <v>110.45</v>
      </c>
      <c r="T224" s="4">
        <v>0.5</v>
      </c>
      <c r="U224" s="6">
        <v>1.64</v>
      </c>
      <c r="V224" s="6">
        <v>3.7120869171570847</v>
      </c>
      <c r="X224" s="27">
        <v>44966</v>
      </c>
      <c r="Y224" s="7" t="s">
        <v>289</v>
      </c>
      <c r="AG224" s="37"/>
    </row>
    <row r="225" spans="1:41" x14ac:dyDescent="0.25">
      <c r="A225" s="4" t="s">
        <v>326</v>
      </c>
      <c r="B225" s="4" t="s">
        <v>327</v>
      </c>
      <c r="C225" s="4" t="s">
        <v>362</v>
      </c>
      <c r="D225" s="14">
        <v>44995</v>
      </c>
      <c r="E225" s="14"/>
      <c r="F225" s="4">
        <v>3</v>
      </c>
      <c r="G225" s="4">
        <v>10</v>
      </c>
      <c r="H225" s="4">
        <v>2023</v>
      </c>
      <c r="J225" s="4">
        <v>42.862000000000002</v>
      </c>
      <c r="K225" s="4">
        <v>69.864999999999995</v>
      </c>
      <c r="L225" s="4" t="s">
        <v>152</v>
      </c>
      <c r="M225" s="4" t="s">
        <v>32</v>
      </c>
      <c r="N225" s="4">
        <v>200</v>
      </c>
      <c r="O225" s="4">
        <f t="shared" si="259"/>
        <v>252</v>
      </c>
      <c r="P225" s="4">
        <v>258</v>
      </c>
      <c r="R225" s="4">
        <v>0.44180000000000003</v>
      </c>
      <c r="S225" s="7">
        <v>110.45</v>
      </c>
      <c r="T225" s="4">
        <v>0.5</v>
      </c>
      <c r="U225" s="6">
        <v>1.01</v>
      </c>
      <c r="V225" s="6">
        <v>2.2861023087369849</v>
      </c>
      <c r="X225" s="27">
        <v>44995</v>
      </c>
      <c r="Y225" s="7" t="s">
        <v>289</v>
      </c>
      <c r="AG225" s="37"/>
    </row>
    <row r="226" spans="1:41" x14ac:dyDescent="0.25">
      <c r="A226" s="4" t="s">
        <v>326</v>
      </c>
      <c r="B226" s="4" t="s">
        <v>327</v>
      </c>
      <c r="C226" s="4" t="s">
        <v>362</v>
      </c>
      <c r="D226" s="14">
        <v>44995</v>
      </c>
      <c r="F226" s="4">
        <v>3</v>
      </c>
      <c r="G226" s="4">
        <v>10</v>
      </c>
      <c r="H226" s="4">
        <v>2023</v>
      </c>
      <c r="J226" s="4">
        <v>42.862000000000002</v>
      </c>
      <c r="K226" s="4">
        <v>69.864999999999995</v>
      </c>
      <c r="L226" s="4" t="s">
        <v>287</v>
      </c>
      <c r="M226" s="4" t="s">
        <v>32</v>
      </c>
      <c r="N226" s="4">
        <v>200</v>
      </c>
      <c r="O226" s="4">
        <f t="shared" si="259"/>
        <v>252</v>
      </c>
      <c r="P226" s="4">
        <v>258</v>
      </c>
      <c r="R226" s="4">
        <v>0.44180000000000003</v>
      </c>
      <c r="S226" s="7">
        <v>110.45</v>
      </c>
      <c r="T226" s="4">
        <v>0.5</v>
      </c>
      <c r="U226" s="6">
        <v>1.8640000000000001</v>
      </c>
      <c r="V226" s="6">
        <v>4.2191036668175652</v>
      </c>
      <c r="W226" s="7">
        <v>22.5</v>
      </c>
      <c r="X226" s="27">
        <v>44995</v>
      </c>
      <c r="Y226" s="7" t="s">
        <v>289</v>
      </c>
      <c r="Z226" s="7">
        <v>2141</v>
      </c>
      <c r="AA226" s="7">
        <v>2345</v>
      </c>
      <c r="AB226" s="7">
        <v>510</v>
      </c>
      <c r="AC226" s="7">
        <v>306</v>
      </c>
      <c r="AD226" s="7">
        <v>510</v>
      </c>
      <c r="AE226" s="7">
        <v>918</v>
      </c>
      <c r="AF226" s="7">
        <v>204</v>
      </c>
      <c r="AG226" s="37">
        <f t="shared" si="260"/>
        <v>2448</v>
      </c>
      <c r="AH226" s="29">
        <f t="shared" ref="AH226:AH227" si="261">SUM(Z226:AF226)</f>
        <v>6934</v>
      </c>
      <c r="AI226">
        <f t="shared" ref="AI226:AI227" si="262">1*Z226</f>
        <v>2141</v>
      </c>
      <c r="AJ226">
        <f t="shared" ref="AJ226:AJ227" si="263">2*AA226</f>
        <v>4690</v>
      </c>
      <c r="AK226">
        <f t="shared" ref="AK226:AK227" si="264">3*AB226</f>
        <v>1530</v>
      </c>
      <c r="AL226">
        <f t="shared" ref="AL226:AL227" si="265">4*AC226</f>
        <v>1224</v>
      </c>
      <c r="AM226">
        <f t="shared" ref="AM226:AM227" si="266">5*AD226</f>
        <v>2550</v>
      </c>
      <c r="AN226">
        <f t="shared" ref="AN226:AN227" si="267">6*(AE226+AF226)</f>
        <v>6732</v>
      </c>
      <c r="AO226" s="40">
        <f t="shared" ref="AO226:AO227" si="268">SUM(AI226:AN226)/AH226</f>
        <v>2.7209402942024807</v>
      </c>
    </row>
    <row r="227" spans="1:41" x14ac:dyDescent="0.25">
      <c r="A227" s="4" t="s">
        <v>328</v>
      </c>
      <c r="B227" s="4" t="s">
        <v>327</v>
      </c>
      <c r="C227" s="4" t="s">
        <v>362</v>
      </c>
      <c r="D227" s="14">
        <v>44995</v>
      </c>
      <c r="F227" s="4">
        <v>3</v>
      </c>
      <c r="G227" s="4">
        <v>10</v>
      </c>
      <c r="H227" s="4">
        <v>2023</v>
      </c>
      <c r="J227" s="4">
        <v>42.862000000000002</v>
      </c>
      <c r="K227" s="4">
        <v>69.864999999999995</v>
      </c>
      <c r="L227" s="4" t="s">
        <v>194</v>
      </c>
      <c r="M227" s="4" t="s">
        <v>32</v>
      </c>
      <c r="N227" s="4">
        <v>200</v>
      </c>
      <c r="O227" s="4">
        <f t="shared" si="259"/>
        <v>252</v>
      </c>
      <c r="P227" s="4">
        <v>258</v>
      </c>
      <c r="R227" s="4">
        <v>0.44180000000000003</v>
      </c>
      <c r="S227" s="7">
        <v>110.45</v>
      </c>
      <c r="T227" s="4">
        <v>0.5</v>
      </c>
      <c r="U227" s="6">
        <v>0.97799999999999998</v>
      </c>
      <c r="V227" s="6">
        <v>2.2136713444997738</v>
      </c>
      <c r="W227" s="7">
        <v>28.1</v>
      </c>
      <c r="X227" s="27">
        <v>44995</v>
      </c>
      <c r="Y227" s="7" t="s">
        <v>289</v>
      </c>
      <c r="Z227" s="7">
        <v>381</v>
      </c>
      <c r="AA227" s="7">
        <v>636</v>
      </c>
      <c r="AB227" s="7">
        <v>1144</v>
      </c>
      <c r="AC227" s="7">
        <v>254</v>
      </c>
      <c r="AD227" s="7">
        <v>254</v>
      </c>
      <c r="AE227" s="7">
        <v>636</v>
      </c>
      <c r="AF227" s="7">
        <v>0</v>
      </c>
      <c r="AG227" s="37">
        <f t="shared" si="260"/>
        <v>2288</v>
      </c>
      <c r="AH227" s="29">
        <f t="shared" si="261"/>
        <v>3305</v>
      </c>
      <c r="AI227">
        <f t="shared" si="262"/>
        <v>381</v>
      </c>
      <c r="AJ227">
        <f t="shared" si="263"/>
        <v>1272</v>
      </c>
      <c r="AK227">
        <f t="shared" si="264"/>
        <v>3432</v>
      </c>
      <c r="AL227">
        <f t="shared" si="265"/>
        <v>1016</v>
      </c>
      <c r="AM227">
        <f t="shared" si="266"/>
        <v>1270</v>
      </c>
      <c r="AN227">
        <f t="shared" si="267"/>
        <v>3816</v>
      </c>
      <c r="AO227" s="40">
        <f t="shared" si="268"/>
        <v>3.384871406959153</v>
      </c>
    </row>
    <row r="228" spans="1:41" x14ac:dyDescent="0.25">
      <c r="A228" s="4" t="s">
        <v>329</v>
      </c>
      <c r="B228" s="4" t="s">
        <v>330</v>
      </c>
      <c r="C228" s="4" t="s">
        <v>362</v>
      </c>
      <c r="D228" s="14">
        <v>45030</v>
      </c>
      <c r="E228" s="14"/>
      <c r="F228" s="4">
        <v>4</v>
      </c>
      <c r="G228" s="4">
        <v>14</v>
      </c>
      <c r="H228" s="4">
        <v>2023</v>
      </c>
      <c r="J228" s="4">
        <v>42.862000000000002</v>
      </c>
      <c r="K228" s="4">
        <v>69.864999999999995</v>
      </c>
      <c r="L228" s="4" t="s">
        <v>287</v>
      </c>
      <c r="M228" s="4" t="s">
        <v>32</v>
      </c>
      <c r="N228" s="4">
        <v>200</v>
      </c>
      <c r="O228" s="4">
        <f t="shared" si="259"/>
        <v>252</v>
      </c>
      <c r="P228" s="4">
        <v>258</v>
      </c>
      <c r="R228" s="4">
        <v>0.44180000000000003</v>
      </c>
      <c r="S228" s="7">
        <v>110.45</v>
      </c>
      <c r="T228" s="4">
        <v>0.5</v>
      </c>
      <c r="U228" s="6">
        <v>2.6139999999999999</v>
      </c>
      <c r="V228" s="6">
        <v>5.9167043911272064</v>
      </c>
      <c r="X228" s="27">
        <v>45030</v>
      </c>
      <c r="Y228" s="7" t="s">
        <v>289</v>
      </c>
      <c r="AG228" s="37"/>
    </row>
    <row r="229" spans="1:41" x14ac:dyDescent="0.25">
      <c r="A229" s="4" t="s">
        <v>329</v>
      </c>
      <c r="B229" s="4" t="s">
        <v>330</v>
      </c>
      <c r="C229" s="4" t="s">
        <v>362</v>
      </c>
      <c r="D229" s="14">
        <v>45030</v>
      </c>
      <c r="F229" s="4">
        <v>4</v>
      </c>
      <c r="G229" s="4">
        <v>14</v>
      </c>
      <c r="H229" s="4">
        <v>2023</v>
      </c>
      <c r="J229" s="4">
        <v>42.862000000000002</v>
      </c>
      <c r="K229" s="4">
        <v>69.864999999999995</v>
      </c>
      <c r="L229" s="4" t="s">
        <v>194</v>
      </c>
      <c r="M229" s="4" t="s">
        <v>32</v>
      </c>
      <c r="N229" s="4">
        <v>200</v>
      </c>
      <c r="O229" s="4">
        <f t="shared" si="259"/>
        <v>252</v>
      </c>
      <c r="P229" s="4">
        <v>258</v>
      </c>
      <c r="R229" s="4">
        <v>0.44180000000000003</v>
      </c>
      <c r="S229" s="7">
        <v>110.45</v>
      </c>
      <c r="T229" s="4">
        <v>0.5</v>
      </c>
      <c r="U229" s="6">
        <v>3.472</v>
      </c>
      <c r="V229" s="6">
        <v>7.8587596197374383</v>
      </c>
      <c r="W229" s="7">
        <v>32.1</v>
      </c>
      <c r="X229" s="27">
        <v>45030</v>
      </c>
      <c r="Y229" s="7" t="s">
        <v>289</v>
      </c>
      <c r="Z229" s="7">
        <v>9431</v>
      </c>
      <c r="AA229" s="7">
        <v>7980</v>
      </c>
      <c r="AB229" s="7">
        <v>5223</v>
      </c>
      <c r="AC229" s="7">
        <v>2467</v>
      </c>
      <c r="AD229" s="7">
        <v>1451</v>
      </c>
      <c r="AE229" s="7">
        <v>1451</v>
      </c>
      <c r="AF229" s="7">
        <v>290</v>
      </c>
      <c r="AG229" s="37">
        <f t="shared" si="260"/>
        <v>10882</v>
      </c>
      <c r="AH229" s="29">
        <f t="shared" ref="AH229" si="269">SUM(Z229:AF229)</f>
        <v>28293</v>
      </c>
      <c r="AI229">
        <f>1*Z229</f>
        <v>9431</v>
      </c>
      <c r="AJ229">
        <f>2*AA229</f>
        <v>15960</v>
      </c>
      <c r="AK229">
        <f>3*AB229</f>
        <v>15669</v>
      </c>
      <c r="AL229">
        <f>4*AC229</f>
        <v>9868</v>
      </c>
      <c r="AM229">
        <f>5*AD229</f>
        <v>7255</v>
      </c>
      <c r="AN229">
        <f>6*(AE229+AF229)</f>
        <v>10446</v>
      </c>
      <c r="AO229" s="40">
        <f>SUM(AI229:AN229)/AH229</f>
        <v>2.4256529883716822</v>
      </c>
    </row>
    <row r="230" spans="1:41" x14ac:dyDescent="0.25">
      <c r="A230" s="4" t="s">
        <v>329</v>
      </c>
      <c r="B230" s="4" t="s">
        <v>330</v>
      </c>
      <c r="C230" s="4" t="s">
        <v>362</v>
      </c>
      <c r="D230" s="14">
        <v>45030</v>
      </c>
      <c r="E230" s="14"/>
      <c r="F230" s="4">
        <v>4</v>
      </c>
      <c r="G230" s="4">
        <v>14</v>
      </c>
      <c r="H230" s="4">
        <v>2023</v>
      </c>
      <c r="J230" s="4">
        <v>42.862000000000002</v>
      </c>
      <c r="K230" s="4">
        <v>69.864999999999995</v>
      </c>
      <c r="L230" s="4" t="s">
        <v>152</v>
      </c>
      <c r="M230" s="4" t="s">
        <v>32</v>
      </c>
      <c r="N230" s="4">
        <v>200</v>
      </c>
      <c r="O230" s="4">
        <f t="shared" si="259"/>
        <v>252</v>
      </c>
      <c r="P230" s="4">
        <v>258</v>
      </c>
      <c r="R230" s="4">
        <v>0.44180000000000003</v>
      </c>
      <c r="S230" s="7">
        <v>110.45</v>
      </c>
      <c r="T230" s="4">
        <v>0.5</v>
      </c>
      <c r="U230" s="6">
        <v>5.9119999999999999</v>
      </c>
      <c r="V230" s="6">
        <v>13.381620642824808</v>
      </c>
      <c r="X230" s="27">
        <v>45030</v>
      </c>
      <c r="Y230" s="7" t="s">
        <v>289</v>
      </c>
      <c r="AG230" s="37"/>
    </row>
    <row r="231" spans="1:41" x14ac:dyDescent="0.25">
      <c r="A231" s="4" t="s">
        <v>331</v>
      </c>
      <c r="B231" s="4" t="s">
        <v>332</v>
      </c>
      <c r="C231" s="4" t="s">
        <v>362</v>
      </c>
      <c r="D231" s="14">
        <v>45063</v>
      </c>
      <c r="E231" s="14"/>
      <c r="F231" s="4">
        <v>5</v>
      </c>
      <c r="G231" s="4">
        <v>17</v>
      </c>
      <c r="H231" s="4">
        <v>2023</v>
      </c>
      <c r="J231" s="4">
        <v>42.862000000000002</v>
      </c>
      <c r="K231" s="4">
        <v>69.864999999999995</v>
      </c>
      <c r="L231" s="4" t="s">
        <v>152</v>
      </c>
      <c r="M231" s="4" t="s">
        <v>32</v>
      </c>
      <c r="N231" s="4">
        <v>200</v>
      </c>
      <c r="O231" s="4">
        <f t="shared" si="259"/>
        <v>252</v>
      </c>
      <c r="P231" s="4">
        <v>258</v>
      </c>
      <c r="R231" s="4">
        <v>0.44180000000000003</v>
      </c>
      <c r="S231" s="7">
        <v>110.45</v>
      </c>
      <c r="T231" s="4">
        <v>0.5</v>
      </c>
      <c r="U231" s="6">
        <v>3.528</v>
      </c>
      <c r="V231" s="6">
        <v>7.9855138071525582</v>
      </c>
      <c r="X231" s="27">
        <v>45053</v>
      </c>
      <c r="Y231" s="7" t="s">
        <v>289</v>
      </c>
      <c r="AG231" s="37"/>
    </row>
    <row r="232" spans="1:41" x14ac:dyDescent="0.25">
      <c r="A232" s="4" t="s">
        <v>331</v>
      </c>
      <c r="B232" s="4" t="s">
        <v>332</v>
      </c>
      <c r="C232" s="4" t="s">
        <v>362</v>
      </c>
      <c r="D232" s="14">
        <v>45063</v>
      </c>
      <c r="F232" s="4">
        <v>5</v>
      </c>
      <c r="G232" s="4">
        <v>17</v>
      </c>
      <c r="H232" s="4">
        <v>2023</v>
      </c>
      <c r="J232" s="4">
        <v>42.862000000000002</v>
      </c>
      <c r="K232" s="4">
        <v>69.864999999999995</v>
      </c>
      <c r="L232" s="4" t="s">
        <v>194</v>
      </c>
      <c r="M232" s="4" t="s">
        <v>32</v>
      </c>
      <c r="N232" s="4">
        <v>200</v>
      </c>
      <c r="O232" s="4">
        <f t="shared" si="259"/>
        <v>252</v>
      </c>
      <c r="P232" s="4">
        <v>258</v>
      </c>
      <c r="R232" s="4">
        <v>0.44180000000000003</v>
      </c>
      <c r="S232" s="7">
        <v>110.45</v>
      </c>
      <c r="T232" s="4">
        <v>0.5</v>
      </c>
      <c r="U232" s="6">
        <v>4.45</v>
      </c>
      <c r="V232" s="6">
        <v>10.072430964237212</v>
      </c>
      <c r="W232" s="7">
        <v>64.099999999999994</v>
      </c>
      <c r="X232" s="27">
        <v>45053</v>
      </c>
      <c r="Y232" s="7" t="s">
        <v>289</v>
      </c>
      <c r="Z232" s="7">
        <v>2322</v>
      </c>
      <c r="AA232" s="7">
        <v>8415</v>
      </c>
      <c r="AB232" s="7">
        <v>11317</v>
      </c>
      <c r="AC232" s="7">
        <v>8125</v>
      </c>
      <c r="AD232" s="7">
        <v>8706</v>
      </c>
      <c r="AE232" s="7">
        <v>2612</v>
      </c>
      <c r="AF232" s="7">
        <v>871</v>
      </c>
      <c r="AG232" s="37">
        <f t="shared" si="260"/>
        <v>31631</v>
      </c>
      <c r="AH232" s="29">
        <f t="shared" ref="AH232" si="270">SUM(Z232:AF232)</f>
        <v>42368</v>
      </c>
      <c r="AI232">
        <f>1*Z232</f>
        <v>2322</v>
      </c>
      <c r="AJ232">
        <f>2*AA232</f>
        <v>16830</v>
      </c>
      <c r="AK232">
        <f>3*AB232</f>
        <v>33951</v>
      </c>
      <c r="AL232">
        <f>4*AC232</f>
        <v>32500</v>
      </c>
      <c r="AM232">
        <f>5*AD232</f>
        <v>43530</v>
      </c>
      <c r="AN232">
        <f>6*(AE232+AF232)</f>
        <v>20898</v>
      </c>
      <c r="AO232" s="40">
        <f>SUM(AI232:AN232)/AH232</f>
        <v>3.5411395392749245</v>
      </c>
    </row>
    <row r="233" spans="1:41" x14ac:dyDescent="0.25">
      <c r="A233" s="4" t="s">
        <v>333</v>
      </c>
      <c r="B233" s="4" t="s">
        <v>334</v>
      </c>
      <c r="C233" s="4" t="s">
        <v>362</v>
      </c>
      <c r="D233" s="14">
        <v>45094</v>
      </c>
      <c r="E233" s="14"/>
      <c r="F233" s="4">
        <v>6</v>
      </c>
      <c r="G233" s="4">
        <v>17</v>
      </c>
      <c r="H233" s="4">
        <v>2023</v>
      </c>
      <c r="J233" s="4">
        <v>42.862000000000002</v>
      </c>
      <c r="K233" s="4">
        <v>69.864999999999995</v>
      </c>
      <c r="L233" s="4" t="s">
        <v>194</v>
      </c>
      <c r="M233" s="4" t="s">
        <v>32</v>
      </c>
      <c r="N233" s="4">
        <v>200</v>
      </c>
      <c r="O233" s="4">
        <f t="shared" si="259"/>
        <v>252</v>
      </c>
      <c r="P233" s="4">
        <v>258</v>
      </c>
      <c r="R233" s="4">
        <v>0.44180000000000003</v>
      </c>
      <c r="S233" s="7">
        <v>110.45</v>
      </c>
      <c r="T233" s="4">
        <v>0.5</v>
      </c>
      <c r="U233" s="6">
        <v>6.1440000000000001</v>
      </c>
      <c r="V233" s="6">
        <v>13.90674513354459</v>
      </c>
      <c r="X233" s="27">
        <v>45094</v>
      </c>
      <c r="Y233" s="7" t="s">
        <v>289</v>
      </c>
      <c r="AG233" s="37"/>
    </row>
    <row r="234" spans="1:41" x14ac:dyDescent="0.25">
      <c r="A234" s="4" t="s">
        <v>333</v>
      </c>
      <c r="B234" s="4" t="s">
        <v>334</v>
      </c>
      <c r="C234" s="4" t="s">
        <v>362</v>
      </c>
      <c r="D234" s="14">
        <v>45094</v>
      </c>
      <c r="F234" s="4">
        <v>6</v>
      </c>
      <c r="G234" s="4">
        <v>17</v>
      </c>
      <c r="H234" s="4">
        <v>2023</v>
      </c>
      <c r="J234" s="4">
        <v>42.862000000000002</v>
      </c>
      <c r="K234" s="4">
        <v>69.864999999999995</v>
      </c>
      <c r="L234" s="4" t="s">
        <v>287</v>
      </c>
      <c r="M234" s="4" t="s">
        <v>32</v>
      </c>
      <c r="N234" s="4">
        <v>200</v>
      </c>
      <c r="O234" s="4">
        <f t="shared" si="259"/>
        <v>252</v>
      </c>
      <c r="P234" s="4">
        <v>258</v>
      </c>
      <c r="R234" s="4">
        <v>0.44180000000000003</v>
      </c>
      <c r="S234" s="7">
        <v>110.45</v>
      </c>
      <c r="T234" s="4">
        <v>0.5</v>
      </c>
      <c r="U234" s="6">
        <v>6.3760000000000003</v>
      </c>
      <c r="V234" s="6">
        <v>14.431869624264372</v>
      </c>
      <c r="W234" s="7">
        <v>57.5</v>
      </c>
      <c r="X234" s="27">
        <v>45094</v>
      </c>
      <c r="Y234" s="7" t="s">
        <v>289</v>
      </c>
      <c r="Z234" s="7">
        <v>781</v>
      </c>
      <c r="AA234" s="7">
        <v>1041</v>
      </c>
      <c r="AB234" s="7">
        <v>3642</v>
      </c>
      <c r="AC234" s="7">
        <v>3122</v>
      </c>
      <c r="AD234" s="7">
        <v>34602</v>
      </c>
      <c r="AE234" s="7">
        <v>2602</v>
      </c>
      <c r="AF234" s="7">
        <v>260</v>
      </c>
      <c r="AG234" s="37">
        <f t="shared" si="260"/>
        <v>44228</v>
      </c>
      <c r="AH234" s="29">
        <f t="shared" ref="AH234:AH242" si="271">SUM(Z234:AF234)</f>
        <v>46050</v>
      </c>
      <c r="AI234">
        <f t="shared" ref="AI234:AI246" si="272">1*Z234</f>
        <v>781</v>
      </c>
      <c r="AJ234">
        <f t="shared" ref="AJ234:AJ246" si="273">2*AA234</f>
        <v>2082</v>
      </c>
      <c r="AK234">
        <f t="shared" ref="AK234:AK246" si="274">3*AB234</f>
        <v>10926</v>
      </c>
      <c r="AL234">
        <f t="shared" ref="AL234:AL246" si="275">4*AC234</f>
        <v>12488</v>
      </c>
      <c r="AM234">
        <f t="shared" ref="AM234:AM246" si="276">5*AD234</f>
        <v>173010</v>
      </c>
      <c r="AN234">
        <f t="shared" ref="AN234:AN246" si="277">6*(AE234+AF234)</f>
        <v>17172</v>
      </c>
      <c r="AO234" s="40">
        <f t="shared" ref="AO234:AO246" si="278">SUM(AI234:AN234)/AH234</f>
        <v>4.7005211726384362</v>
      </c>
    </row>
    <row r="235" spans="1:41" x14ac:dyDescent="0.25">
      <c r="A235" s="4" t="s">
        <v>363</v>
      </c>
      <c r="B235" s="4" t="s">
        <v>364</v>
      </c>
      <c r="C235" s="4" t="s">
        <v>362</v>
      </c>
      <c r="D235" s="14">
        <v>45125</v>
      </c>
      <c r="F235" s="4">
        <v>7</v>
      </c>
      <c r="G235" s="4">
        <v>18</v>
      </c>
      <c r="H235" s="4">
        <v>2023</v>
      </c>
      <c r="J235" s="4">
        <v>42.862000000000002</v>
      </c>
      <c r="K235" s="4">
        <v>69.864999999999995</v>
      </c>
      <c r="L235" s="4" t="s">
        <v>194</v>
      </c>
      <c r="M235" s="4" t="s">
        <v>32</v>
      </c>
      <c r="N235" s="4">
        <v>200</v>
      </c>
      <c r="O235" s="4">
        <v>252</v>
      </c>
      <c r="P235" s="4">
        <v>258</v>
      </c>
      <c r="R235" s="4">
        <v>0.44180000000000003</v>
      </c>
      <c r="S235" s="7">
        <v>110.45</v>
      </c>
      <c r="T235" s="4">
        <v>0.5</v>
      </c>
      <c r="U235" s="38"/>
      <c r="V235" s="38"/>
      <c r="W235" s="7">
        <v>38.5</v>
      </c>
      <c r="X235" s="27">
        <v>45125</v>
      </c>
      <c r="Y235" s="7" t="s">
        <v>289</v>
      </c>
      <c r="Z235" s="7">
        <v>0</v>
      </c>
      <c r="AA235" s="7">
        <v>696</v>
      </c>
      <c r="AB235" s="7">
        <v>2438</v>
      </c>
      <c r="AC235" s="7">
        <v>4005</v>
      </c>
      <c r="AD235" s="7">
        <v>37434</v>
      </c>
      <c r="AE235" s="7">
        <v>871</v>
      </c>
      <c r="AF235" s="7">
        <v>0</v>
      </c>
      <c r="AG235" s="37">
        <f t="shared" si="260"/>
        <v>44748</v>
      </c>
      <c r="AH235" s="29">
        <f t="shared" si="271"/>
        <v>45444</v>
      </c>
      <c r="AI235">
        <f t="shared" si="272"/>
        <v>0</v>
      </c>
      <c r="AJ235">
        <f t="shared" si="273"/>
        <v>1392</v>
      </c>
      <c r="AK235">
        <f t="shared" si="274"/>
        <v>7314</v>
      </c>
      <c r="AL235">
        <f t="shared" si="275"/>
        <v>16020</v>
      </c>
      <c r="AM235">
        <f t="shared" si="276"/>
        <v>187170</v>
      </c>
      <c r="AN235">
        <f t="shared" si="277"/>
        <v>5226</v>
      </c>
      <c r="AO235" s="40">
        <f t="shared" si="278"/>
        <v>4.7777924478479008</v>
      </c>
    </row>
    <row r="236" spans="1:41" x14ac:dyDescent="0.25">
      <c r="A236" s="4" t="s">
        <v>335</v>
      </c>
      <c r="B236" s="4" t="s">
        <v>336</v>
      </c>
      <c r="C236" s="4" t="s">
        <v>362</v>
      </c>
      <c r="D236" s="14">
        <v>45145</v>
      </c>
      <c r="F236" s="4">
        <v>8</v>
      </c>
      <c r="G236" s="4">
        <v>7</v>
      </c>
      <c r="H236" s="4">
        <v>2023</v>
      </c>
      <c r="J236" s="4">
        <v>42.862000000000002</v>
      </c>
      <c r="K236" s="4">
        <v>69.864999999999995</v>
      </c>
      <c r="L236" s="4" t="s">
        <v>152</v>
      </c>
      <c r="M236" s="4" t="s">
        <v>32</v>
      </c>
      <c r="N236" s="4">
        <v>200</v>
      </c>
      <c r="O236" s="4">
        <f t="shared" si="259"/>
        <v>252</v>
      </c>
      <c r="P236" s="4">
        <v>258</v>
      </c>
      <c r="R236" s="4">
        <v>0.44180000000000003</v>
      </c>
      <c r="S236" s="7">
        <v>110.45</v>
      </c>
      <c r="T236" s="4">
        <v>0.5</v>
      </c>
      <c r="U236" s="6">
        <v>6.226</v>
      </c>
      <c r="V236" s="6">
        <v>14.092349479402444</v>
      </c>
      <c r="W236" s="7">
        <v>40.700000000000003</v>
      </c>
      <c r="X236" s="27">
        <v>45145</v>
      </c>
      <c r="Y236" s="7" t="s">
        <v>289</v>
      </c>
      <c r="Z236" s="7">
        <v>0</v>
      </c>
      <c r="AA236" s="7">
        <v>0</v>
      </c>
      <c r="AB236" s="7">
        <v>736</v>
      </c>
      <c r="AC236" s="7">
        <v>13618</v>
      </c>
      <c r="AD236" s="7">
        <v>35516</v>
      </c>
      <c r="AE236" s="7">
        <v>1472</v>
      </c>
      <c r="AF236" s="7">
        <v>0</v>
      </c>
      <c r="AG236" s="37">
        <f t="shared" si="260"/>
        <v>51342</v>
      </c>
      <c r="AH236" s="29">
        <f t="shared" si="271"/>
        <v>51342</v>
      </c>
      <c r="AI236">
        <f t="shared" si="272"/>
        <v>0</v>
      </c>
      <c r="AJ236">
        <f t="shared" si="273"/>
        <v>0</v>
      </c>
      <c r="AK236">
        <f t="shared" si="274"/>
        <v>2208</v>
      </c>
      <c r="AL236">
        <f t="shared" si="275"/>
        <v>54472</v>
      </c>
      <c r="AM236">
        <f t="shared" si="276"/>
        <v>177580</v>
      </c>
      <c r="AN236">
        <f t="shared" si="277"/>
        <v>8832</v>
      </c>
      <c r="AO236" s="40">
        <f t="shared" si="278"/>
        <v>4.734759066651085</v>
      </c>
    </row>
    <row r="237" spans="1:41" x14ac:dyDescent="0.25">
      <c r="A237" s="4" t="s">
        <v>335</v>
      </c>
      <c r="B237" s="4" t="s">
        <v>336</v>
      </c>
      <c r="C237" s="4" t="s">
        <v>362</v>
      </c>
      <c r="D237" s="14">
        <v>45145</v>
      </c>
      <c r="F237" s="4">
        <v>8</v>
      </c>
      <c r="G237" s="4">
        <v>7</v>
      </c>
      <c r="H237" s="4">
        <v>2023</v>
      </c>
      <c r="J237" s="4">
        <v>42.862000000000002</v>
      </c>
      <c r="K237" s="4">
        <v>69.864999999999995</v>
      </c>
      <c r="L237" s="4" t="s">
        <v>287</v>
      </c>
      <c r="M237" s="4" t="s">
        <v>32</v>
      </c>
      <c r="N237" s="4">
        <v>200</v>
      </c>
      <c r="O237" s="4">
        <f t="shared" si="259"/>
        <v>252</v>
      </c>
      <c r="P237" s="4">
        <v>258</v>
      </c>
      <c r="R237" s="4">
        <v>0.44180000000000003</v>
      </c>
      <c r="S237" s="7">
        <v>110.45</v>
      </c>
      <c r="T237" s="4">
        <v>0.5</v>
      </c>
      <c r="U237" s="6">
        <v>7.28</v>
      </c>
      <c r="V237" s="6">
        <v>16.478044363965594</v>
      </c>
      <c r="W237" s="7">
        <v>44.6</v>
      </c>
      <c r="X237" s="27">
        <v>45145</v>
      </c>
      <c r="Y237" s="7" t="s">
        <v>289</v>
      </c>
      <c r="Z237" s="7">
        <v>0</v>
      </c>
      <c r="AA237" s="7">
        <v>0</v>
      </c>
      <c r="AB237" s="7">
        <v>3638</v>
      </c>
      <c r="AC237" s="7">
        <v>14147</v>
      </c>
      <c r="AD237" s="7">
        <v>31123</v>
      </c>
      <c r="AE237" s="7">
        <v>1819</v>
      </c>
      <c r="AF237" s="7">
        <v>0</v>
      </c>
      <c r="AG237" s="37">
        <f t="shared" si="260"/>
        <v>50727</v>
      </c>
      <c r="AH237" s="29">
        <f t="shared" si="271"/>
        <v>50727</v>
      </c>
      <c r="AI237">
        <f t="shared" si="272"/>
        <v>0</v>
      </c>
      <c r="AJ237">
        <f t="shared" si="273"/>
        <v>0</v>
      </c>
      <c r="AK237">
        <f t="shared" si="274"/>
        <v>10914</v>
      </c>
      <c r="AL237">
        <f t="shared" si="275"/>
        <v>56588</v>
      </c>
      <c r="AM237">
        <f t="shared" si="276"/>
        <v>155615</v>
      </c>
      <c r="AN237">
        <f t="shared" si="277"/>
        <v>10914</v>
      </c>
      <c r="AO237" s="40">
        <f t="shared" si="278"/>
        <v>4.6135391408914384</v>
      </c>
    </row>
    <row r="238" spans="1:41" x14ac:dyDescent="0.25">
      <c r="A238" s="4" t="s">
        <v>337</v>
      </c>
      <c r="B238" s="4" t="s">
        <v>338</v>
      </c>
      <c r="C238" s="4" t="s">
        <v>362</v>
      </c>
      <c r="D238" s="14">
        <v>45176</v>
      </c>
      <c r="F238" s="4">
        <v>9</v>
      </c>
      <c r="G238" s="4">
        <v>7</v>
      </c>
      <c r="H238" s="4">
        <v>2023</v>
      </c>
      <c r="J238" s="4">
        <v>42.862000000000002</v>
      </c>
      <c r="K238" s="4">
        <v>69.864999999999995</v>
      </c>
      <c r="L238" s="4" t="s">
        <v>155</v>
      </c>
      <c r="M238" s="4" t="s">
        <v>32</v>
      </c>
      <c r="N238" s="4">
        <v>200</v>
      </c>
      <c r="O238" s="4">
        <f t="shared" si="259"/>
        <v>252</v>
      </c>
      <c r="P238" s="4">
        <v>258</v>
      </c>
      <c r="R238" s="4">
        <v>0.44180000000000003</v>
      </c>
      <c r="S238" s="7">
        <v>110.45</v>
      </c>
      <c r="T238" s="4">
        <v>0.5</v>
      </c>
      <c r="U238" s="6">
        <v>3.4239999999999999</v>
      </c>
      <c r="V238" s="6">
        <v>7.75011317338162</v>
      </c>
      <c r="W238" s="7">
        <v>38.799999999999997</v>
      </c>
      <c r="X238" s="27">
        <v>45176</v>
      </c>
      <c r="Y238" s="7" t="s">
        <v>289</v>
      </c>
      <c r="Z238" s="7">
        <v>0</v>
      </c>
      <c r="AA238" s="7">
        <v>0</v>
      </c>
      <c r="AB238" s="7">
        <v>351</v>
      </c>
      <c r="AC238" s="7">
        <v>3509</v>
      </c>
      <c r="AD238" s="7">
        <v>17020</v>
      </c>
      <c r="AE238" s="7">
        <v>1579</v>
      </c>
      <c r="AF238" s="7">
        <v>351</v>
      </c>
      <c r="AG238" s="37">
        <f t="shared" si="260"/>
        <v>22810</v>
      </c>
      <c r="AH238" s="29">
        <f t="shared" si="271"/>
        <v>22810</v>
      </c>
      <c r="AI238">
        <f t="shared" si="272"/>
        <v>0</v>
      </c>
      <c r="AJ238">
        <f t="shared" si="273"/>
        <v>0</v>
      </c>
      <c r="AK238">
        <f t="shared" si="274"/>
        <v>1053</v>
      </c>
      <c r="AL238">
        <f t="shared" si="275"/>
        <v>14036</v>
      </c>
      <c r="AM238">
        <f t="shared" si="276"/>
        <v>85100</v>
      </c>
      <c r="AN238">
        <f t="shared" si="277"/>
        <v>11580</v>
      </c>
      <c r="AO238" s="40">
        <f t="shared" si="278"/>
        <v>4.9000000000000004</v>
      </c>
    </row>
    <row r="239" spans="1:41" x14ac:dyDescent="0.25">
      <c r="A239" s="4" t="s">
        <v>337</v>
      </c>
      <c r="B239" s="4" t="s">
        <v>338</v>
      </c>
      <c r="C239" s="4" t="s">
        <v>362</v>
      </c>
      <c r="D239" s="14">
        <v>45176</v>
      </c>
      <c r="F239" s="4">
        <v>9</v>
      </c>
      <c r="G239" s="4">
        <v>7</v>
      </c>
      <c r="H239" s="4">
        <v>2023</v>
      </c>
      <c r="J239" s="4">
        <v>42.862000000000002</v>
      </c>
      <c r="K239" s="4">
        <v>69.864999999999995</v>
      </c>
      <c r="L239" s="4" t="s">
        <v>152</v>
      </c>
      <c r="M239" s="4" t="s">
        <v>32</v>
      </c>
      <c r="N239" s="4">
        <v>200</v>
      </c>
      <c r="O239" s="4">
        <f t="shared" si="259"/>
        <v>252</v>
      </c>
      <c r="P239" s="4">
        <v>258</v>
      </c>
      <c r="R239" s="4">
        <v>0.44180000000000003</v>
      </c>
      <c r="S239" s="7">
        <v>110.45</v>
      </c>
      <c r="T239" s="4">
        <v>0.5</v>
      </c>
      <c r="U239" s="6">
        <v>4.0039999999999996</v>
      </c>
      <c r="V239" s="6">
        <v>9.0629244001810765</v>
      </c>
      <c r="W239" s="7">
        <v>51.5</v>
      </c>
      <c r="X239" s="27">
        <v>45176</v>
      </c>
      <c r="Y239" s="7" t="s">
        <v>289</v>
      </c>
      <c r="Z239" s="7">
        <v>0</v>
      </c>
      <c r="AA239" s="7">
        <v>0</v>
      </c>
      <c r="AB239" s="7">
        <v>233</v>
      </c>
      <c r="AC239" s="7">
        <v>6300</v>
      </c>
      <c r="AD239" s="7">
        <v>21468</v>
      </c>
      <c r="AE239" s="7">
        <v>1400</v>
      </c>
      <c r="AF239" s="7">
        <v>700</v>
      </c>
      <c r="AG239" s="37">
        <f t="shared" si="260"/>
        <v>30101</v>
      </c>
      <c r="AH239" s="29">
        <f t="shared" si="271"/>
        <v>30101</v>
      </c>
      <c r="AI239">
        <f t="shared" si="272"/>
        <v>0</v>
      </c>
      <c r="AJ239">
        <f t="shared" si="273"/>
        <v>0</v>
      </c>
      <c r="AK239">
        <f t="shared" si="274"/>
        <v>699</v>
      </c>
      <c r="AL239">
        <f t="shared" si="275"/>
        <v>25200</v>
      </c>
      <c r="AM239">
        <f t="shared" si="276"/>
        <v>107340</v>
      </c>
      <c r="AN239">
        <f t="shared" si="277"/>
        <v>12600</v>
      </c>
      <c r="AO239" s="40">
        <f t="shared" si="278"/>
        <v>4.8449885385867582</v>
      </c>
    </row>
    <row r="240" spans="1:41" x14ac:dyDescent="0.25">
      <c r="A240" s="4" t="s">
        <v>340</v>
      </c>
      <c r="B240" s="4" t="s">
        <v>340</v>
      </c>
      <c r="C240" s="4" t="s">
        <v>362</v>
      </c>
      <c r="D240" s="14">
        <v>45204</v>
      </c>
      <c r="F240" s="4">
        <v>10</v>
      </c>
      <c r="G240" s="4">
        <v>5</v>
      </c>
      <c r="H240" s="4">
        <v>2023</v>
      </c>
      <c r="J240" s="4">
        <v>42.862000000000002</v>
      </c>
      <c r="K240" s="4">
        <v>69.864999999999995</v>
      </c>
      <c r="L240" s="4" t="s">
        <v>194</v>
      </c>
      <c r="M240" s="4" t="s">
        <v>32</v>
      </c>
      <c r="N240" s="4">
        <v>200</v>
      </c>
      <c r="O240" s="4">
        <f t="shared" si="259"/>
        <v>252</v>
      </c>
      <c r="P240" s="4">
        <v>258</v>
      </c>
      <c r="R240" s="4">
        <v>0.44180000000000003</v>
      </c>
      <c r="S240" s="7">
        <v>110.45</v>
      </c>
      <c r="T240" s="4">
        <v>0.5</v>
      </c>
      <c r="U240" s="39">
        <f>3.628/T240</f>
        <v>7.2560000000000002</v>
      </c>
      <c r="V240" s="39">
        <v>16.423721140787684</v>
      </c>
      <c r="W240" s="7">
        <v>38.6</v>
      </c>
      <c r="X240" s="27">
        <v>45204</v>
      </c>
      <c r="Y240" s="7" t="s">
        <v>289</v>
      </c>
      <c r="Z240" s="7">
        <v>0</v>
      </c>
      <c r="AA240" s="7">
        <v>0</v>
      </c>
      <c r="AB240" s="7">
        <v>350</v>
      </c>
      <c r="AC240" s="7">
        <v>6646</v>
      </c>
      <c r="AD240" s="7">
        <v>68737</v>
      </c>
      <c r="AE240" s="7">
        <v>875</v>
      </c>
      <c r="AF240" s="7">
        <v>175</v>
      </c>
      <c r="AG240" s="37">
        <f t="shared" si="260"/>
        <v>76783</v>
      </c>
      <c r="AH240" s="29">
        <f t="shared" si="271"/>
        <v>76783</v>
      </c>
      <c r="AI240">
        <f t="shared" si="272"/>
        <v>0</v>
      </c>
      <c r="AJ240">
        <f t="shared" si="273"/>
        <v>0</v>
      </c>
      <c r="AK240">
        <f t="shared" si="274"/>
        <v>1050</v>
      </c>
      <c r="AL240">
        <f t="shared" si="275"/>
        <v>26584</v>
      </c>
      <c r="AM240">
        <f t="shared" si="276"/>
        <v>343685</v>
      </c>
      <c r="AN240">
        <f t="shared" si="277"/>
        <v>6300</v>
      </c>
      <c r="AO240" s="40">
        <f t="shared" si="278"/>
        <v>4.9180026828855343</v>
      </c>
    </row>
    <row r="241" spans="1:41" x14ac:dyDescent="0.25">
      <c r="A241" s="4" t="s">
        <v>339</v>
      </c>
      <c r="B241" s="4" t="s">
        <v>339</v>
      </c>
      <c r="C241" s="4" t="s">
        <v>362</v>
      </c>
      <c r="D241" s="14">
        <v>45262</v>
      </c>
      <c r="F241" s="4">
        <v>12</v>
      </c>
      <c r="G241" s="4">
        <v>2</v>
      </c>
      <c r="H241" s="4">
        <v>2023</v>
      </c>
      <c r="J241" s="4">
        <v>42.862000000000002</v>
      </c>
      <c r="K241" s="4">
        <v>69.864999999999995</v>
      </c>
      <c r="L241" s="4" t="s">
        <v>152</v>
      </c>
      <c r="M241" s="4" t="s">
        <v>32</v>
      </c>
      <c r="N241" s="4">
        <v>200</v>
      </c>
      <c r="O241" s="4">
        <f t="shared" si="259"/>
        <v>252</v>
      </c>
      <c r="P241" s="4">
        <v>258</v>
      </c>
      <c r="R241" s="4">
        <v>0.44180000000000003</v>
      </c>
      <c r="S241" s="7">
        <v>110.45</v>
      </c>
      <c r="T241" s="4">
        <v>0.5</v>
      </c>
      <c r="U241" s="39">
        <f>2.021/T241</f>
        <v>4.0419999999999998</v>
      </c>
      <c r="V241" s="39">
        <v>9.1489361702127656</v>
      </c>
      <c r="W241" s="7">
        <v>32</v>
      </c>
      <c r="X241" s="27">
        <v>45262</v>
      </c>
      <c r="Y241" s="7" t="s">
        <v>289</v>
      </c>
      <c r="Z241" s="7">
        <v>0</v>
      </c>
      <c r="AA241" s="7">
        <v>0</v>
      </c>
      <c r="AB241" s="7">
        <v>142.3564548687331</v>
      </c>
      <c r="AC241" s="7">
        <v>1138.8516389498648</v>
      </c>
      <c r="AD241" s="7">
        <v>30037.211977302686</v>
      </c>
      <c r="AE241" s="7">
        <v>1281.2080938185979</v>
      </c>
      <c r="AF241" s="7">
        <v>427.06936460619931</v>
      </c>
      <c r="AG241" s="37">
        <f t="shared" si="260"/>
        <v>33026.69752954608</v>
      </c>
      <c r="AH241" s="29">
        <f t="shared" si="271"/>
        <v>33026.69752954608</v>
      </c>
      <c r="AI241">
        <f t="shared" si="272"/>
        <v>0</v>
      </c>
      <c r="AJ241">
        <f t="shared" si="273"/>
        <v>0</v>
      </c>
      <c r="AK241">
        <f t="shared" si="274"/>
        <v>427.06936460619931</v>
      </c>
      <c r="AL241">
        <f t="shared" si="275"/>
        <v>4555.4065557994591</v>
      </c>
      <c r="AM241">
        <f t="shared" si="276"/>
        <v>150186.05988651342</v>
      </c>
      <c r="AN241">
        <f t="shared" si="277"/>
        <v>10249.664750548784</v>
      </c>
      <c r="AO241" s="40">
        <f t="shared" si="278"/>
        <v>5.0086206896551717</v>
      </c>
    </row>
    <row r="242" spans="1:41" x14ac:dyDescent="0.25">
      <c r="A242" s="4" t="s">
        <v>339</v>
      </c>
      <c r="B242" s="4" t="s">
        <v>339</v>
      </c>
      <c r="C242" s="4" t="s">
        <v>362</v>
      </c>
      <c r="D242" s="14">
        <v>45262</v>
      </c>
      <c r="F242" s="4">
        <v>12</v>
      </c>
      <c r="G242" s="4">
        <v>2</v>
      </c>
      <c r="H242" s="4">
        <v>2023</v>
      </c>
      <c r="J242" s="4">
        <v>42.862000000000002</v>
      </c>
      <c r="K242" s="4">
        <v>69.864999999999995</v>
      </c>
      <c r="L242" s="4" t="s">
        <v>155</v>
      </c>
      <c r="M242" s="4" t="s">
        <v>32</v>
      </c>
      <c r="N242" s="4">
        <v>200</v>
      </c>
      <c r="O242" s="4">
        <f t="shared" si="259"/>
        <v>252</v>
      </c>
      <c r="P242" s="4">
        <v>258</v>
      </c>
      <c r="R242" s="4">
        <v>0.44180000000000003</v>
      </c>
      <c r="S242" s="7">
        <v>110.45</v>
      </c>
      <c r="T242" s="4">
        <v>0.5</v>
      </c>
      <c r="U242" s="39">
        <f>1.696/T242</f>
        <v>3.3919999999999999</v>
      </c>
      <c r="V242" s="39">
        <v>7.6776822091444092</v>
      </c>
      <c r="W242" s="7">
        <v>21.3</v>
      </c>
      <c r="X242" s="27">
        <v>45262</v>
      </c>
      <c r="Y242" s="7" t="s">
        <v>289</v>
      </c>
      <c r="Z242" s="7">
        <v>0</v>
      </c>
      <c r="AA242" s="7">
        <v>0</v>
      </c>
      <c r="AB242" s="7">
        <v>71.178227434366548</v>
      </c>
      <c r="AC242" s="7">
        <v>1256.927362748318</v>
      </c>
      <c r="AD242" s="7">
        <v>26562.060451797974</v>
      </c>
      <c r="AE242" s="7">
        <v>1035.797264737193</v>
      </c>
      <c r="AF242" s="7">
        <v>454.40056155738995</v>
      </c>
      <c r="AG242" s="37">
        <f t="shared" si="260"/>
        <v>29380.363868275243</v>
      </c>
      <c r="AH242" s="29">
        <f t="shared" si="271"/>
        <v>29380.363868275243</v>
      </c>
      <c r="AI242">
        <f t="shared" si="272"/>
        <v>0</v>
      </c>
      <c r="AJ242">
        <f t="shared" si="273"/>
        <v>0</v>
      </c>
      <c r="AK242">
        <f t="shared" si="274"/>
        <v>213.53468230309966</v>
      </c>
      <c r="AL242">
        <f t="shared" si="275"/>
        <v>5027.7094509932722</v>
      </c>
      <c r="AM242">
        <f t="shared" si="276"/>
        <v>132810.30225898986</v>
      </c>
      <c r="AN242">
        <f t="shared" si="277"/>
        <v>8941.186957767497</v>
      </c>
      <c r="AO242" s="40">
        <f t="shared" si="278"/>
        <v>5.0030943799431862</v>
      </c>
    </row>
    <row r="243" spans="1:41" x14ac:dyDescent="0.25">
      <c r="A243" s="4" t="s">
        <v>373</v>
      </c>
      <c r="B243" s="4" t="s">
        <v>373</v>
      </c>
      <c r="C243" s="4" t="s">
        <v>362</v>
      </c>
      <c r="D243" s="14">
        <v>45334</v>
      </c>
      <c r="F243" s="4">
        <v>2</v>
      </c>
      <c r="G243" s="4">
        <v>12</v>
      </c>
      <c r="H243" s="4">
        <v>2024</v>
      </c>
      <c r="J243" s="4">
        <v>42.862000000000002</v>
      </c>
      <c r="K243" s="4">
        <v>69.864999999999995</v>
      </c>
      <c r="L243" s="4" t="s">
        <v>155</v>
      </c>
      <c r="M243" s="4" t="s">
        <v>32</v>
      </c>
      <c r="N243" s="4">
        <v>200</v>
      </c>
      <c r="O243" s="4">
        <f t="shared" si="259"/>
        <v>252</v>
      </c>
      <c r="P243" s="4">
        <v>258</v>
      </c>
      <c r="R243" s="4">
        <v>0.44180000000000003</v>
      </c>
      <c r="S243" s="7">
        <v>110.45</v>
      </c>
      <c r="T243" s="4">
        <v>0.5</v>
      </c>
      <c r="U243" s="41">
        <v>1.964</v>
      </c>
      <c r="V243" s="41">
        <v>4.45</v>
      </c>
      <c r="W243" s="7">
        <v>27.173913043478262</v>
      </c>
      <c r="X243" s="14">
        <v>45334</v>
      </c>
      <c r="Y243" s="7" t="s">
        <v>289</v>
      </c>
      <c r="Z243" s="7">
        <v>0</v>
      </c>
      <c r="AA243" s="7">
        <v>0</v>
      </c>
      <c r="AB243" s="7">
        <v>0</v>
      </c>
      <c r="AC243" s="7">
        <v>246.02909047965829</v>
      </c>
      <c r="AD243" s="7">
        <v>3690.4363571948747</v>
      </c>
      <c r="AE243" s="7">
        <v>5658.6690810321406</v>
      </c>
      <c r="AF243" s="7">
        <v>369.04363571948744</v>
      </c>
      <c r="AG243" s="37">
        <v>9964.1781644261609</v>
      </c>
      <c r="AH243" s="29">
        <f t="shared" ref="AH243:AH245" si="279">SUM(Z243:AF243)</f>
        <v>9964.1781644261609</v>
      </c>
      <c r="AI243">
        <f t="shared" si="272"/>
        <v>0</v>
      </c>
      <c r="AJ243">
        <f t="shared" si="273"/>
        <v>0</v>
      </c>
      <c r="AK243">
        <f t="shared" si="274"/>
        <v>0</v>
      </c>
      <c r="AL243">
        <f t="shared" si="275"/>
        <v>984.11636191863317</v>
      </c>
      <c r="AM243">
        <f t="shared" si="276"/>
        <v>18452.181785974375</v>
      </c>
      <c r="AN243">
        <f t="shared" si="277"/>
        <v>36166.276300509766</v>
      </c>
      <c r="AO243" s="40">
        <f t="shared" si="278"/>
        <v>5.5802469135802468</v>
      </c>
    </row>
    <row r="244" spans="1:41" x14ac:dyDescent="0.25">
      <c r="A244" s="4" t="s">
        <v>373</v>
      </c>
      <c r="B244" s="4" t="s">
        <v>373</v>
      </c>
      <c r="C244" s="4" t="s">
        <v>362</v>
      </c>
      <c r="D244" s="14">
        <v>45334</v>
      </c>
      <c r="F244" s="4">
        <v>2</v>
      </c>
      <c r="G244" s="4">
        <v>12</v>
      </c>
      <c r="H244" s="4">
        <v>2024</v>
      </c>
      <c r="J244" s="4">
        <v>42.862000000000002</v>
      </c>
      <c r="K244" s="4">
        <v>69.864999999999995</v>
      </c>
      <c r="L244" s="4" t="s">
        <v>152</v>
      </c>
      <c r="M244" s="4" t="s">
        <v>32</v>
      </c>
      <c r="N244" s="4">
        <v>200</v>
      </c>
      <c r="O244" s="4">
        <f t="shared" si="259"/>
        <v>252</v>
      </c>
      <c r="P244" s="4">
        <v>258</v>
      </c>
      <c r="R244" s="4">
        <v>0.44180000000000003</v>
      </c>
      <c r="S244" s="7">
        <v>110.45</v>
      </c>
      <c r="T244" s="4">
        <v>0.5</v>
      </c>
      <c r="U244" s="41">
        <v>1.8420000000000001</v>
      </c>
      <c r="V244" s="41">
        <v>4.17</v>
      </c>
      <c r="W244" s="7">
        <v>29.545454545454547</v>
      </c>
      <c r="X244" s="14">
        <v>45334</v>
      </c>
      <c r="Y244" s="7" t="s">
        <v>289</v>
      </c>
      <c r="Z244" s="7">
        <v>0</v>
      </c>
      <c r="AA244" s="7">
        <v>133.75036009712332</v>
      </c>
      <c r="AB244" s="7">
        <v>0</v>
      </c>
      <c r="AC244" s="7">
        <v>267.5007201942467</v>
      </c>
      <c r="AD244" s="7">
        <v>4280.0115231079471</v>
      </c>
      <c r="AE244" s="7">
        <v>7088.7690851475372</v>
      </c>
      <c r="AF244" s="7">
        <v>401.25108029136999</v>
      </c>
      <c r="AG244" s="37">
        <v>12037.532408741101</v>
      </c>
      <c r="AH244" s="29">
        <f t="shared" si="279"/>
        <v>12171.282768838224</v>
      </c>
      <c r="AI244">
        <f t="shared" si="272"/>
        <v>0</v>
      </c>
      <c r="AJ244">
        <f t="shared" si="273"/>
        <v>267.50072019424664</v>
      </c>
      <c r="AK244">
        <f t="shared" si="274"/>
        <v>0</v>
      </c>
      <c r="AL244">
        <f t="shared" si="275"/>
        <v>1070.0028807769868</v>
      </c>
      <c r="AM244">
        <f t="shared" si="276"/>
        <v>21400.057615539736</v>
      </c>
      <c r="AN244">
        <f t="shared" si="277"/>
        <v>44940.120992633441</v>
      </c>
      <c r="AO244" s="40">
        <f t="shared" si="278"/>
        <v>5.5604395604395602</v>
      </c>
    </row>
    <row r="245" spans="1:41" x14ac:dyDescent="0.25">
      <c r="A245" s="4" t="s">
        <v>374</v>
      </c>
      <c r="B245" s="4" t="s">
        <v>374</v>
      </c>
      <c r="C245" s="4" t="s">
        <v>362</v>
      </c>
      <c r="D245" s="14">
        <v>45365</v>
      </c>
      <c r="F245" s="4">
        <v>3</v>
      </c>
      <c r="G245" s="4">
        <v>14</v>
      </c>
      <c r="H245" s="4">
        <v>2024</v>
      </c>
      <c r="J245" s="4">
        <v>42.862000000000002</v>
      </c>
      <c r="K245" s="4">
        <v>69.864999999999995</v>
      </c>
      <c r="L245" s="4" t="s">
        <v>287</v>
      </c>
      <c r="M245" s="4" t="s">
        <v>32</v>
      </c>
      <c r="N245" s="4">
        <v>200</v>
      </c>
      <c r="O245" s="4">
        <f t="shared" si="259"/>
        <v>252</v>
      </c>
      <c r="P245" s="4">
        <v>258</v>
      </c>
      <c r="R245" s="4">
        <v>0.44180000000000003</v>
      </c>
      <c r="S245" s="7">
        <v>110.45</v>
      </c>
      <c r="T245" s="4">
        <v>0.5</v>
      </c>
      <c r="U245" s="41">
        <v>1.218</v>
      </c>
      <c r="V245" s="41">
        <v>2.76</v>
      </c>
      <c r="W245" s="7">
        <v>27.173913043478262</v>
      </c>
      <c r="X245" s="14">
        <v>45365</v>
      </c>
      <c r="Y245" s="7" t="s">
        <v>289</v>
      </c>
      <c r="Z245" s="7">
        <v>0</v>
      </c>
      <c r="AA245" s="7">
        <v>0</v>
      </c>
      <c r="AB245" s="7">
        <v>0</v>
      </c>
      <c r="AC245" s="7">
        <v>246.02909047965829</v>
      </c>
      <c r="AD245" s="7">
        <v>2460.2909047965832</v>
      </c>
      <c r="AE245" s="7">
        <v>8364.9890763083822</v>
      </c>
      <c r="AF245" s="7">
        <v>738.08727143897488</v>
      </c>
      <c r="AG245" s="37">
        <v>11809.396343023598</v>
      </c>
      <c r="AH245" s="29">
        <f t="shared" si="279"/>
        <v>11809.396343023598</v>
      </c>
      <c r="AI245">
        <f t="shared" si="272"/>
        <v>0</v>
      </c>
      <c r="AJ245">
        <f t="shared" si="273"/>
        <v>0</v>
      </c>
      <c r="AK245">
        <f t="shared" si="274"/>
        <v>0</v>
      </c>
      <c r="AL245">
        <f t="shared" si="275"/>
        <v>984.11636191863317</v>
      </c>
      <c r="AM245">
        <f t="shared" si="276"/>
        <v>12301.454523982917</v>
      </c>
      <c r="AN245">
        <f t="shared" si="277"/>
        <v>54618.458086484141</v>
      </c>
      <c r="AO245" s="40">
        <f t="shared" si="278"/>
        <v>5.75</v>
      </c>
    </row>
    <row r="246" spans="1:41" ht="15.75" thickBot="1" x14ac:dyDescent="0.3">
      <c r="A246" s="4" t="s">
        <v>374</v>
      </c>
      <c r="B246" s="4" t="s">
        <v>374</v>
      </c>
      <c r="C246" s="4" t="s">
        <v>362</v>
      </c>
      <c r="D246" s="14">
        <v>45365</v>
      </c>
      <c r="F246" s="4">
        <v>3</v>
      </c>
      <c r="G246" s="4">
        <v>14</v>
      </c>
      <c r="H246" s="4">
        <v>2024</v>
      </c>
      <c r="J246" s="4">
        <v>42.862000000000002</v>
      </c>
      <c r="K246" s="4">
        <v>69.864999999999995</v>
      </c>
      <c r="L246" s="4" t="s">
        <v>155</v>
      </c>
      <c r="M246" s="4" t="s">
        <v>32</v>
      </c>
      <c r="N246" s="4">
        <v>200</v>
      </c>
      <c r="O246" s="4">
        <f t="shared" si="259"/>
        <v>252</v>
      </c>
      <c r="P246" s="4">
        <v>258</v>
      </c>
      <c r="R246" s="4">
        <v>0.44180000000000003</v>
      </c>
      <c r="S246" s="7">
        <v>110.45</v>
      </c>
      <c r="T246" s="4">
        <v>0.5</v>
      </c>
      <c r="U246" s="41">
        <v>1.33</v>
      </c>
      <c r="V246" s="41">
        <v>3.01</v>
      </c>
      <c r="W246" s="7">
        <v>32.236842105263158</v>
      </c>
      <c r="X246" s="14">
        <v>45365</v>
      </c>
      <c r="Y246" s="7" t="s">
        <v>289</v>
      </c>
      <c r="Z246" s="7">
        <v>0</v>
      </c>
      <c r="AA246" s="7">
        <v>145.93409735293415</v>
      </c>
      <c r="AB246" s="7">
        <v>0</v>
      </c>
      <c r="AC246" s="7">
        <v>1167.4727788234732</v>
      </c>
      <c r="AD246" s="7">
        <v>1313.4068761764074</v>
      </c>
      <c r="AE246" s="7">
        <v>7150.7707702937741</v>
      </c>
      <c r="AF246" s="7">
        <v>145.93409735293415</v>
      </c>
      <c r="AG246" s="37">
        <v>9777.5845226465881</v>
      </c>
      <c r="AH246" s="29">
        <f>SUM(Z246:AF246)</f>
        <v>9923.5186199995242</v>
      </c>
      <c r="AI246">
        <f t="shared" si="272"/>
        <v>0</v>
      </c>
      <c r="AJ246">
        <f t="shared" si="273"/>
        <v>291.86819470586829</v>
      </c>
      <c r="AK246">
        <f t="shared" si="274"/>
        <v>0</v>
      </c>
      <c r="AL246">
        <f t="shared" si="275"/>
        <v>4669.8911152938927</v>
      </c>
      <c r="AM246">
        <f t="shared" si="276"/>
        <v>6567.0343808820371</v>
      </c>
      <c r="AN246">
        <f t="shared" si="277"/>
        <v>43780.229205880249</v>
      </c>
      <c r="AO246" s="40">
        <f t="shared" si="278"/>
        <v>5.5735294117647056</v>
      </c>
    </row>
    <row r="247" spans="1:41" ht="15.75" thickBot="1" x14ac:dyDescent="0.3">
      <c r="A247" s="43" t="s">
        <v>376</v>
      </c>
      <c r="C247" s="4" t="s">
        <v>362</v>
      </c>
      <c r="D247" s="42">
        <v>45443</v>
      </c>
      <c r="F247" s="4">
        <f>MONTH(D247)</f>
        <v>5</v>
      </c>
      <c r="G247" s="4">
        <f>DAY(D247)</f>
        <v>31</v>
      </c>
      <c r="H247" s="4">
        <f>YEAR(D247)</f>
        <v>2024</v>
      </c>
      <c r="J247" s="4">
        <v>42.862000000000002</v>
      </c>
      <c r="K247" s="4">
        <v>69.864999999999995</v>
      </c>
      <c r="L247" s="43" t="s">
        <v>194</v>
      </c>
      <c r="M247" s="4" t="s">
        <v>32</v>
      </c>
      <c r="N247" s="4">
        <v>200</v>
      </c>
      <c r="O247" s="4">
        <f t="shared" ref="O247:O255" si="280">P247-6</f>
        <v>252</v>
      </c>
      <c r="P247" s="4">
        <v>258</v>
      </c>
      <c r="Z247" s="44">
        <v>0</v>
      </c>
      <c r="AA247" s="44">
        <v>397</v>
      </c>
      <c r="AB247" s="44">
        <v>3177</v>
      </c>
      <c r="AC247" s="44">
        <v>26209</v>
      </c>
      <c r="AD247" s="45">
        <v>27201</v>
      </c>
      <c r="AE247" s="44">
        <v>1390</v>
      </c>
      <c r="AF247" s="44">
        <v>1588</v>
      </c>
      <c r="AG247" s="45">
        <v>59565</v>
      </c>
      <c r="AH247" s="29">
        <f t="shared" ref="AH247:AH255" si="281">SUM(Z247:AF247)</f>
        <v>59962</v>
      </c>
      <c r="AI247">
        <f t="shared" ref="AI247:AI255" si="282">1*Z247</f>
        <v>0</v>
      </c>
      <c r="AJ247">
        <f t="shared" ref="AJ247:AJ255" si="283">2*AA247</f>
        <v>794</v>
      </c>
      <c r="AK247">
        <f t="shared" ref="AK247:AK255" si="284">3*AB247</f>
        <v>9531</v>
      </c>
      <c r="AL247">
        <f t="shared" ref="AL247:AL255" si="285">4*AC247</f>
        <v>104836</v>
      </c>
      <c r="AM247">
        <f t="shared" ref="AM247:AM255" si="286">5*AD247</f>
        <v>136005</v>
      </c>
      <c r="AN247">
        <f t="shared" ref="AN247:AN255" si="287">6*(AE247+AF247)</f>
        <v>17868</v>
      </c>
      <c r="AO247" s="40">
        <f t="shared" ref="AO247:AO255" si="288">SUM(AI247:AN247)/AH247</f>
        <v>4.4867416030152434</v>
      </c>
    </row>
    <row r="248" spans="1:41" ht="15.75" thickBot="1" x14ac:dyDescent="0.3">
      <c r="A248" s="43" t="s">
        <v>377</v>
      </c>
      <c r="C248" s="4" t="s">
        <v>362</v>
      </c>
      <c r="D248" s="42">
        <v>45482</v>
      </c>
      <c r="F248" s="4">
        <f t="shared" ref="F248:F255" si="289">MONTH(D248)</f>
        <v>7</v>
      </c>
      <c r="G248" s="4">
        <f t="shared" ref="G248:G255" si="290">DAY(D248)</f>
        <v>9</v>
      </c>
      <c r="H248" s="4">
        <f t="shared" ref="H248:H255" si="291">YEAR(D248)</f>
        <v>2024</v>
      </c>
      <c r="J248" s="4">
        <v>42.862000000000002</v>
      </c>
      <c r="K248" s="4">
        <v>69.864999999999995</v>
      </c>
      <c r="L248" s="43" t="s">
        <v>194</v>
      </c>
      <c r="M248" s="4" t="s">
        <v>32</v>
      </c>
      <c r="N248" s="4">
        <v>200</v>
      </c>
      <c r="O248" s="4">
        <f t="shared" si="280"/>
        <v>252</v>
      </c>
      <c r="P248" s="4">
        <v>258</v>
      </c>
      <c r="Z248" s="44">
        <v>192</v>
      </c>
      <c r="AA248" s="44">
        <v>959</v>
      </c>
      <c r="AB248" s="44">
        <v>767</v>
      </c>
      <c r="AC248" s="44">
        <v>2877</v>
      </c>
      <c r="AD248" s="45">
        <v>24745</v>
      </c>
      <c r="AE248" s="44">
        <v>1726</v>
      </c>
      <c r="AF248" s="44">
        <v>2302</v>
      </c>
      <c r="AG248" s="45">
        <v>32417</v>
      </c>
      <c r="AH248" s="29">
        <f t="shared" si="281"/>
        <v>33568</v>
      </c>
      <c r="AI248">
        <f t="shared" si="282"/>
        <v>192</v>
      </c>
      <c r="AJ248">
        <f t="shared" si="283"/>
        <v>1918</v>
      </c>
      <c r="AK248">
        <f t="shared" si="284"/>
        <v>2301</v>
      </c>
      <c r="AL248">
        <f t="shared" si="285"/>
        <v>11508</v>
      </c>
      <c r="AM248">
        <f t="shared" si="286"/>
        <v>123725</v>
      </c>
      <c r="AN248">
        <f t="shared" si="287"/>
        <v>24168</v>
      </c>
      <c r="AO248" s="40">
        <f t="shared" si="288"/>
        <v>4.880004766444233</v>
      </c>
    </row>
    <row r="249" spans="1:41" ht="15.75" thickBot="1" x14ac:dyDescent="0.3">
      <c r="A249" s="43" t="s">
        <v>378</v>
      </c>
      <c r="C249" s="4" t="s">
        <v>362</v>
      </c>
      <c r="D249" s="42">
        <v>45518</v>
      </c>
      <c r="F249" s="4">
        <f t="shared" si="289"/>
        <v>8</v>
      </c>
      <c r="G249" s="4">
        <f t="shared" si="290"/>
        <v>14</v>
      </c>
      <c r="H249" s="4">
        <f t="shared" si="291"/>
        <v>2024</v>
      </c>
      <c r="J249" s="4">
        <v>42.862000000000002</v>
      </c>
      <c r="K249" s="4">
        <v>69.864999999999995</v>
      </c>
      <c r="L249" s="43" t="s">
        <v>194</v>
      </c>
      <c r="M249" s="4" t="s">
        <v>32</v>
      </c>
      <c r="N249" s="4">
        <v>200</v>
      </c>
      <c r="O249" s="4">
        <f t="shared" si="280"/>
        <v>252</v>
      </c>
      <c r="P249" s="4">
        <v>258</v>
      </c>
      <c r="Z249" s="44">
        <v>0</v>
      </c>
      <c r="AA249" s="44">
        <v>0</v>
      </c>
      <c r="AB249" s="44">
        <v>0</v>
      </c>
      <c r="AC249" s="44">
        <v>2748</v>
      </c>
      <c r="AD249" s="45">
        <v>30033</v>
      </c>
      <c r="AE249" s="44">
        <v>1767</v>
      </c>
      <c r="AF249" s="44">
        <v>0</v>
      </c>
      <c r="AG249" s="45">
        <v>34548</v>
      </c>
      <c r="AH249" s="29">
        <f t="shared" si="281"/>
        <v>34548</v>
      </c>
      <c r="AI249">
        <f t="shared" si="282"/>
        <v>0</v>
      </c>
      <c r="AJ249">
        <f t="shared" si="283"/>
        <v>0</v>
      </c>
      <c r="AK249">
        <f t="shared" si="284"/>
        <v>0</v>
      </c>
      <c r="AL249">
        <f t="shared" si="285"/>
        <v>10992</v>
      </c>
      <c r="AM249">
        <f t="shared" si="286"/>
        <v>150165</v>
      </c>
      <c r="AN249">
        <f t="shared" si="287"/>
        <v>10602</v>
      </c>
      <c r="AO249" s="40">
        <f t="shared" si="288"/>
        <v>4.9716047238624519</v>
      </c>
    </row>
    <row r="250" spans="1:41" ht="15.75" thickBot="1" x14ac:dyDescent="0.3">
      <c r="A250" s="43" t="s">
        <v>379</v>
      </c>
      <c r="C250" s="4" t="s">
        <v>362</v>
      </c>
      <c r="D250" s="42">
        <v>45565</v>
      </c>
      <c r="F250" s="4">
        <f t="shared" si="289"/>
        <v>9</v>
      </c>
      <c r="G250" s="4">
        <f t="shared" si="290"/>
        <v>30</v>
      </c>
      <c r="H250" s="4">
        <f t="shared" si="291"/>
        <v>2024</v>
      </c>
      <c r="J250" s="4">
        <v>42.862000000000002</v>
      </c>
      <c r="K250" s="4">
        <v>69.864999999999995</v>
      </c>
      <c r="L250" s="43" t="s">
        <v>152</v>
      </c>
      <c r="M250" s="4" t="s">
        <v>32</v>
      </c>
      <c r="N250" s="4">
        <v>200</v>
      </c>
      <c r="O250" s="4">
        <f t="shared" si="280"/>
        <v>252</v>
      </c>
      <c r="P250" s="4">
        <v>258</v>
      </c>
      <c r="Z250" s="44">
        <v>0</v>
      </c>
      <c r="AA250" s="44">
        <v>0</v>
      </c>
      <c r="AB250" s="44">
        <v>348</v>
      </c>
      <c r="AC250" s="44">
        <v>1741</v>
      </c>
      <c r="AD250" s="45">
        <v>16367</v>
      </c>
      <c r="AE250" s="44">
        <v>1567</v>
      </c>
      <c r="AF250" s="44">
        <v>348</v>
      </c>
      <c r="AG250" s="45">
        <v>20371</v>
      </c>
      <c r="AH250" s="29">
        <f t="shared" si="281"/>
        <v>20371</v>
      </c>
      <c r="AI250">
        <f t="shared" si="282"/>
        <v>0</v>
      </c>
      <c r="AJ250">
        <f t="shared" si="283"/>
        <v>0</v>
      </c>
      <c r="AK250">
        <f t="shared" si="284"/>
        <v>1044</v>
      </c>
      <c r="AL250">
        <f t="shared" si="285"/>
        <v>6964</v>
      </c>
      <c r="AM250">
        <f t="shared" si="286"/>
        <v>81835</v>
      </c>
      <c r="AN250">
        <f t="shared" si="287"/>
        <v>11490</v>
      </c>
      <c r="AO250" s="40">
        <f t="shared" si="288"/>
        <v>4.9743753374895681</v>
      </c>
    </row>
    <row r="251" spans="1:41" ht="15.75" thickBot="1" x14ac:dyDescent="0.3">
      <c r="A251" s="43" t="s">
        <v>380</v>
      </c>
      <c r="C251" s="4" t="s">
        <v>362</v>
      </c>
      <c r="D251" s="42">
        <v>45582</v>
      </c>
      <c r="F251" s="4">
        <f t="shared" si="289"/>
        <v>10</v>
      </c>
      <c r="G251" s="4">
        <f t="shared" si="290"/>
        <v>17</v>
      </c>
      <c r="H251" s="4">
        <f t="shared" si="291"/>
        <v>2024</v>
      </c>
      <c r="J251" s="4">
        <v>42.862000000000002</v>
      </c>
      <c r="K251" s="4">
        <v>69.864999999999995</v>
      </c>
      <c r="L251" s="43" t="s">
        <v>152</v>
      </c>
      <c r="M251" s="4" t="s">
        <v>32</v>
      </c>
      <c r="N251" s="4">
        <v>200</v>
      </c>
      <c r="O251" s="4">
        <f t="shared" si="280"/>
        <v>252</v>
      </c>
      <c r="P251" s="4">
        <v>258</v>
      </c>
      <c r="Z251" s="44">
        <v>0</v>
      </c>
      <c r="AA251" s="44">
        <v>0</v>
      </c>
      <c r="AB251" s="44">
        <v>190</v>
      </c>
      <c r="AC251" s="44">
        <v>2663</v>
      </c>
      <c r="AD251" s="45">
        <v>30433</v>
      </c>
      <c r="AE251" s="44">
        <v>951</v>
      </c>
      <c r="AF251" s="44">
        <v>0</v>
      </c>
      <c r="AG251" s="45">
        <v>34237</v>
      </c>
      <c r="AH251" s="29">
        <f t="shared" si="281"/>
        <v>34237</v>
      </c>
      <c r="AI251">
        <f t="shared" si="282"/>
        <v>0</v>
      </c>
      <c r="AJ251">
        <f t="shared" si="283"/>
        <v>0</v>
      </c>
      <c r="AK251">
        <f t="shared" si="284"/>
        <v>570</v>
      </c>
      <c r="AL251">
        <f t="shared" si="285"/>
        <v>10652</v>
      </c>
      <c r="AM251">
        <f t="shared" si="286"/>
        <v>152165</v>
      </c>
      <c r="AN251">
        <f t="shared" si="287"/>
        <v>5706</v>
      </c>
      <c r="AO251" s="40">
        <f t="shared" si="288"/>
        <v>4.9388965154657241</v>
      </c>
    </row>
    <row r="252" spans="1:41" ht="15.75" thickBot="1" x14ac:dyDescent="0.3">
      <c r="A252" s="43" t="s">
        <v>381</v>
      </c>
      <c r="C252" s="4" t="s">
        <v>362</v>
      </c>
      <c r="D252" s="42">
        <v>45600</v>
      </c>
      <c r="F252" s="4">
        <f t="shared" si="289"/>
        <v>11</v>
      </c>
      <c r="G252" s="4">
        <f t="shared" si="290"/>
        <v>4</v>
      </c>
      <c r="H252" s="4">
        <f t="shared" si="291"/>
        <v>2024</v>
      </c>
      <c r="J252" s="4">
        <v>42.862000000000002</v>
      </c>
      <c r="K252" s="4">
        <v>69.864999999999995</v>
      </c>
      <c r="L252" s="43" t="s">
        <v>152</v>
      </c>
      <c r="M252" s="4" t="s">
        <v>32</v>
      </c>
      <c r="N252" s="4">
        <v>200</v>
      </c>
      <c r="O252" s="4">
        <f t="shared" si="280"/>
        <v>252</v>
      </c>
      <c r="P252" s="4">
        <v>258</v>
      </c>
      <c r="Z252" s="44">
        <v>1811</v>
      </c>
      <c r="AA252" s="44">
        <v>0</v>
      </c>
      <c r="AB252" s="44">
        <v>453</v>
      </c>
      <c r="AC252" s="44">
        <v>2716</v>
      </c>
      <c r="AD252" s="45">
        <v>27614</v>
      </c>
      <c r="AE252" s="44">
        <v>2716</v>
      </c>
      <c r="AF252" s="44">
        <v>0</v>
      </c>
      <c r="AG252" s="45">
        <v>33499</v>
      </c>
      <c r="AH252" s="29">
        <f t="shared" si="281"/>
        <v>35310</v>
      </c>
      <c r="AI252">
        <f t="shared" si="282"/>
        <v>1811</v>
      </c>
      <c r="AJ252">
        <f t="shared" si="283"/>
        <v>0</v>
      </c>
      <c r="AK252">
        <f t="shared" si="284"/>
        <v>1359</v>
      </c>
      <c r="AL252">
        <f t="shared" si="285"/>
        <v>10864</v>
      </c>
      <c r="AM252">
        <f t="shared" si="286"/>
        <v>138070</v>
      </c>
      <c r="AN252">
        <f t="shared" si="287"/>
        <v>16296</v>
      </c>
      <c r="AO252" s="40">
        <f t="shared" si="288"/>
        <v>4.7691871990937411</v>
      </c>
    </row>
    <row r="253" spans="1:41" ht="15.75" thickBot="1" x14ac:dyDescent="0.3">
      <c r="A253" s="43" t="s">
        <v>382</v>
      </c>
      <c r="C253" s="4" t="s">
        <v>362</v>
      </c>
      <c r="D253" s="42">
        <v>45670</v>
      </c>
      <c r="F253" s="4">
        <f t="shared" si="289"/>
        <v>1</v>
      </c>
      <c r="G253" s="4">
        <f t="shared" si="290"/>
        <v>13</v>
      </c>
      <c r="H253" s="4">
        <f t="shared" si="291"/>
        <v>2025</v>
      </c>
      <c r="J253" s="4">
        <v>42.862000000000002</v>
      </c>
      <c r="K253" s="4">
        <v>69.864999999999995</v>
      </c>
      <c r="L253" s="43" t="s">
        <v>152</v>
      </c>
      <c r="M253" s="4" t="s">
        <v>32</v>
      </c>
      <c r="N253" s="4">
        <v>200</v>
      </c>
      <c r="O253" s="4">
        <f t="shared" si="280"/>
        <v>252</v>
      </c>
      <c r="P253" s="4">
        <v>258</v>
      </c>
      <c r="Z253" s="44">
        <v>0</v>
      </c>
      <c r="AA253" s="44">
        <v>0</v>
      </c>
      <c r="AB253" s="44">
        <v>192</v>
      </c>
      <c r="AC253" s="44">
        <v>384</v>
      </c>
      <c r="AD253" s="45">
        <v>8440</v>
      </c>
      <c r="AE253" s="44">
        <v>2110</v>
      </c>
      <c r="AF253" s="44">
        <v>1535</v>
      </c>
      <c r="AG253" s="45">
        <v>12660</v>
      </c>
      <c r="AH253" s="29">
        <f t="shared" si="281"/>
        <v>12661</v>
      </c>
      <c r="AI253">
        <f t="shared" si="282"/>
        <v>0</v>
      </c>
      <c r="AJ253">
        <f t="shared" si="283"/>
        <v>0</v>
      </c>
      <c r="AK253">
        <f t="shared" si="284"/>
        <v>576</v>
      </c>
      <c r="AL253">
        <f t="shared" si="285"/>
        <v>1536</v>
      </c>
      <c r="AM253">
        <f t="shared" si="286"/>
        <v>42200</v>
      </c>
      <c r="AN253">
        <f t="shared" si="287"/>
        <v>21870</v>
      </c>
      <c r="AO253" s="40">
        <f t="shared" si="288"/>
        <v>5.2272332359213332</v>
      </c>
    </row>
    <row r="254" spans="1:41" ht="15.75" thickBot="1" x14ac:dyDescent="0.3">
      <c r="A254" s="43" t="s">
        <v>383</v>
      </c>
      <c r="C254" s="4" t="s">
        <v>362</v>
      </c>
      <c r="D254" s="42">
        <v>45712</v>
      </c>
      <c r="F254" s="4">
        <f t="shared" si="289"/>
        <v>2</v>
      </c>
      <c r="G254" s="4">
        <f t="shared" si="290"/>
        <v>24</v>
      </c>
      <c r="H254" s="4">
        <f t="shared" si="291"/>
        <v>2025</v>
      </c>
      <c r="J254" s="4">
        <v>42.862000000000002</v>
      </c>
      <c r="K254" s="4">
        <v>69.864999999999995</v>
      </c>
      <c r="L254" s="43" t="s">
        <v>194</v>
      </c>
      <c r="M254" s="4" t="s">
        <v>32</v>
      </c>
      <c r="N254" s="4">
        <v>200</v>
      </c>
      <c r="O254" s="4">
        <f t="shared" si="280"/>
        <v>252</v>
      </c>
      <c r="P254" s="4">
        <v>258</v>
      </c>
      <c r="Z254" s="44">
        <v>0</v>
      </c>
      <c r="AA254" s="44">
        <v>0</v>
      </c>
      <c r="AB254" s="44">
        <v>0</v>
      </c>
      <c r="AC254" s="44">
        <v>94</v>
      </c>
      <c r="AD254" s="45">
        <v>3087</v>
      </c>
      <c r="AE254" s="44">
        <v>1497</v>
      </c>
      <c r="AF254" s="44">
        <v>748</v>
      </c>
      <c r="AG254" s="45">
        <v>5425</v>
      </c>
      <c r="AH254" s="29">
        <f t="shared" si="281"/>
        <v>5426</v>
      </c>
      <c r="AI254">
        <f t="shared" si="282"/>
        <v>0</v>
      </c>
      <c r="AJ254">
        <f t="shared" si="283"/>
        <v>0</v>
      </c>
      <c r="AK254">
        <f t="shared" si="284"/>
        <v>0</v>
      </c>
      <c r="AL254">
        <f t="shared" si="285"/>
        <v>376</v>
      </c>
      <c r="AM254">
        <f t="shared" si="286"/>
        <v>15435</v>
      </c>
      <c r="AN254">
        <f t="shared" si="287"/>
        <v>13470</v>
      </c>
      <c r="AO254" s="40">
        <f t="shared" si="288"/>
        <v>5.3964246221894578</v>
      </c>
    </row>
    <row r="255" spans="1:41" ht="15.75" thickBot="1" x14ac:dyDescent="0.3">
      <c r="A255" s="43" t="s">
        <v>384</v>
      </c>
      <c r="C255" s="4" t="s">
        <v>362</v>
      </c>
      <c r="D255" s="42">
        <v>45826</v>
      </c>
      <c r="F255" s="4">
        <f t="shared" si="289"/>
        <v>6</v>
      </c>
      <c r="G255" s="4">
        <f t="shared" si="290"/>
        <v>18</v>
      </c>
      <c r="H255" s="4">
        <f t="shared" si="291"/>
        <v>2025</v>
      </c>
      <c r="J255" s="4">
        <v>42.862000000000002</v>
      </c>
      <c r="K255" s="4">
        <v>69.864999999999995</v>
      </c>
      <c r="L255" s="43" t="s">
        <v>194</v>
      </c>
      <c r="M255" s="4" t="s">
        <v>32</v>
      </c>
      <c r="N255" s="4">
        <v>200</v>
      </c>
      <c r="O255" s="4">
        <f t="shared" si="280"/>
        <v>252</v>
      </c>
      <c r="P255" s="4">
        <v>258</v>
      </c>
      <c r="Z255" s="44">
        <v>11770</v>
      </c>
      <c r="AA255" s="44">
        <v>10865</v>
      </c>
      <c r="AB255" s="44">
        <v>14486</v>
      </c>
      <c r="AC255" s="44">
        <v>6338</v>
      </c>
      <c r="AD255" s="45">
        <v>18108</v>
      </c>
      <c r="AE255" s="44">
        <v>453</v>
      </c>
      <c r="AF255" s="44">
        <v>453</v>
      </c>
      <c r="AG255" s="45">
        <v>39837</v>
      </c>
      <c r="AH255" s="29">
        <f t="shared" si="281"/>
        <v>62473</v>
      </c>
      <c r="AI255">
        <f t="shared" si="282"/>
        <v>11770</v>
      </c>
      <c r="AJ255">
        <f t="shared" si="283"/>
        <v>21730</v>
      </c>
      <c r="AK255">
        <f t="shared" si="284"/>
        <v>43458</v>
      </c>
      <c r="AL255">
        <f t="shared" si="285"/>
        <v>25352</v>
      </c>
      <c r="AM255">
        <f t="shared" si="286"/>
        <v>90540</v>
      </c>
      <c r="AN255">
        <f t="shared" si="287"/>
        <v>5436</v>
      </c>
      <c r="AO255" s="40">
        <f t="shared" si="288"/>
        <v>3.1739471451667121</v>
      </c>
    </row>
  </sheetData>
  <printOptions gridLines="1"/>
  <pageMargins left="0.7" right="0.7" top="0.75" bottom="0.75" header="0.3" footer="0.3"/>
  <pageSetup scale="60" orientation="landscape" r:id="rId1"/>
  <headerFooter>
    <oddHeader>&amp;L&amp;D</oddHeader>
    <oddFooter>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Runge</dc:creator>
  <cp:lastModifiedBy>cam thompson</cp:lastModifiedBy>
  <cp:lastPrinted>2024-02-29T00:16:07Z</cp:lastPrinted>
  <dcterms:created xsi:type="dcterms:W3CDTF">2022-10-29T13:55:08Z</dcterms:created>
  <dcterms:modified xsi:type="dcterms:W3CDTF">2025-08-27T17:17:31Z</dcterms:modified>
</cp:coreProperties>
</file>