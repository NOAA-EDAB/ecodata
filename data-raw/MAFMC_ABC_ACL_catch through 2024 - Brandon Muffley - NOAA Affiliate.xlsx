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don.beltz\Downloads\"/>
    </mc:Choice>
  </mc:AlternateContent>
  <xr:revisionPtr revIDLastSave="0" documentId="13_ncr:1_{387D7346-4B52-4B68-B6EA-3A437CEAAA14}" xr6:coauthVersionLast="47" xr6:coauthVersionMax="47" xr10:uidLastSave="{00000000-0000-0000-0000-000000000000}"/>
  <bookViews>
    <workbookView xWindow="-47640" yWindow="-2370" windowWidth="17280" windowHeight="8880" xr2:uid="{ED61D9A5-9240-4330-BEF2-FFF2389E73AB}"/>
  </bookViews>
  <sheets>
    <sheet name="MAFMC ABC_ACL_catch (2023 data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7" i="1" l="1"/>
  <c r="AA18" i="1" l="1"/>
  <c r="Z18" i="1"/>
  <c r="R18" i="1"/>
  <c r="M17" i="1"/>
  <c r="S19" i="1"/>
  <c r="T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B16" i="1"/>
  <c r="P23" i="1"/>
  <c r="N23" i="1"/>
  <c r="L23" i="1"/>
  <c r="S18" i="1"/>
  <c r="Q18" i="1"/>
  <c r="P18" i="1"/>
  <c r="O18" i="1"/>
  <c r="N18" i="1"/>
  <c r="M18" i="1"/>
  <c r="L18" i="1"/>
  <c r="S17" i="1"/>
  <c r="R17" i="1"/>
  <c r="Q17" i="1"/>
  <c r="P17" i="1"/>
  <c r="O17" i="1"/>
  <c r="N17" i="1"/>
  <c r="L17" i="1"/>
  <c r="R16" i="1"/>
  <c r="P16" i="1"/>
  <c r="N16" i="1"/>
  <c r="L16" i="1"/>
  <c r="J16" i="1"/>
  <c r="H16" i="1"/>
  <c r="F16" i="1"/>
  <c r="D16" i="1"/>
  <c r="R10" i="1"/>
  <c r="P10" i="1"/>
  <c r="N10" i="1"/>
  <c r="L10" i="1"/>
  <c r="J10" i="1"/>
  <c r="H10" i="1"/>
  <c r="F10" i="1"/>
  <c r="D10" i="1"/>
  <c r="B10" i="1"/>
  <c r="R9" i="1"/>
  <c r="P9" i="1"/>
  <c r="N9" i="1"/>
  <c r="L9" i="1"/>
  <c r="J9" i="1"/>
  <c r="H9" i="1"/>
  <c r="F9" i="1"/>
  <c r="E9" i="1"/>
  <c r="D9" i="1"/>
  <c r="C9" i="1"/>
  <c r="B9" i="1"/>
  <c r="R8" i="1"/>
  <c r="Q8" i="1"/>
  <c r="P8" i="1"/>
  <c r="O8" i="1"/>
  <c r="N8" i="1"/>
  <c r="M8" i="1"/>
  <c r="L8" i="1"/>
  <c r="K8" i="1"/>
  <c r="J8" i="1"/>
  <c r="I8" i="1"/>
  <c r="H8" i="1"/>
  <c r="F8" i="1"/>
  <c r="E8" i="1"/>
  <c r="D8" i="1"/>
  <c r="C8" i="1"/>
  <c r="B8" i="1"/>
  <c r="R7" i="1"/>
  <c r="Q7" i="1"/>
  <c r="P7" i="1"/>
  <c r="O7" i="1"/>
  <c r="N7" i="1"/>
  <c r="M7" i="1"/>
  <c r="L7" i="1"/>
  <c r="K7" i="1"/>
  <c r="J7" i="1"/>
  <c r="I7" i="1"/>
  <c r="H7" i="1"/>
  <c r="G8" i="1"/>
  <c r="G7" i="1"/>
  <c r="F7" i="1"/>
  <c r="E7" i="1"/>
  <c r="D7" i="1"/>
  <c r="C7" i="1"/>
  <c r="B7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S3" i="1"/>
  <c r="M14" i="1"/>
  <c r="O14" i="1"/>
  <c r="Q3" i="1"/>
  <c r="O3" i="1"/>
  <c r="M3" i="1"/>
  <c r="K3" i="1"/>
  <c r="I3" i="1"/>
  <c r="G4" i="1"/>
  <c r="C3" i="1"/>
  <c r="E3" i="1"/>
  <c r="G3" i="1"/>
  <c r="C4" i="1"/>
  <c r="E4" i="1"/>
  <c r="I4" i="1"/>
</calcChain>
</file>

<file path=xl/sharedStrings.xml><?xml version="1.0" encoding="utf-8"?>
<sst xmlns="http://schemas.openxmlformats.org/spreadsheetml/2006/main" count="54" uniqueCount="52">
  <si>
    <t>Species/Sector</t>
  </si>
  <si>
    <t>Notes</t>
  </si>
  <si>
    <t>Ocean Quahog</t>
  </si>
  <si>
    <t>Surfclam</t>
  </si>
  <si>
    <t>Summer Flounder Recreational</t>
  </si>
  <si>
    <t>Summer Flounder Commercial</t>
  </si>
  <si>
    <t>Scup Recreational</t>
  </si>
  <si>
    <t>Scup Commercial</t>
  </si>
  <si>
    <t>Black Sea Bass Recreational</t>
  </si>
  <si>
    <t>Black Sea Bass Commercial</t>
  </si>
  <si>
    <t>Atlantic Mackerel</t>
  </si>
  <si>
    <t>Butterfish</t>
  </si>
  <si>
    <t>Longfin Squid</t>
  </si>
  <si>
    <t>Illex Squid</t>
  </si>
  <si>
    <t>Golden Tilefish</t>
  </si>
  <si>
    <t>Blueline Tilefish Recreational</t>
  </si>
  <si>
    <t>Blueline Tilefish Commercial</t>
  </si>
  <si>
    <t>Bluefish</t>
  </si>
  <si>
    <t>Spiny Dogfish</t>
  </si>
  <si>
    <t>Chub Mackerel</t>
  </si>
  <si>
    <t>Entire timeseries was updated based on most recent assessment and now includes rec landings and comm discards</t>
  </si>
  <si>
    <t>US ABC/ACL/Catch</t>
  </si>
  <si>
    <t>?</t>
  </si>
  <si>
    <t>not sure I've seen the 2024 ACL monitoring memo (discards), but should be well below</t>
  </si>
  <si>
    <t>not sure I've seen the 2023/2024 ACL monitoring memos (discards) but should be well below</t>
  </si>
  <si>
    <t>2024 reduced due to 2023 overage;  catch estimates are for fishing year (May 1 - April 30); US ABC and US catch since at least 2019, not yet sure about Canada before that...</t>
  </si>
  <si>
    <t>ABC or ACL 2012</t>
  </si>
  <si>
    <t>Catch 2012</t>
  </si>
  <si>
    <t>ABC or ACL 2013</t>
  </si>
  <si>
    <t>Catch 2013</t>
  </si>
  <si>
    <t>ABC or ACL 2014</t>
  </si>
  <si>
    <t>Catch 2014</t>
  </si>
  <si>
    <t>ABC or ACL 2015</t>
  </si>
  <si>
    <t>Catch 2015</t>
  </si>
  <si>
    <t>ABC or ACL 2016</t>
  </si>
  <si>
    <t>Catch 2016</t>
  </si>
  <si>
    <t>ABC or ACL 2017</t>
  </si>
  <si>
    <t>Catch 2017</t>
  </si>
  <si>
    <t>ABC or ACL 2018</t>
  </si>
  <si>
    <t>Catch 2018</t>
  </si>
  <si>
    <t>ABC or ACL 2019</t>
  </si>
  <si>
    <t>Catch 2019</t>
  </si>
  <si>
    <t>ABC or ACL 2020</t>
  </si>
  <si>
    <t>Catch 2020</t>
  </si>
  <si>
    <t>ABC or ACL 2021</t>
  </si>
  <si>
    <t>Catch 2021</t>
  </si>
  <si>
    <t>ABC or ACL 2022</t>
  </si>
  <si>
    <t>Catch 2022</t>
  </si>
  <si>
    <t>ABC or ACL 2023</t>
  </si>
  <si>
    <t>Catch 2023</t>
  </si>
  <si>
    <t>ABC or ACL 2024</t>
  </si>
  <si>
    <t>Catch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</si>
</sst>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164" fontId="0" fillId="0" borderId="2" xfId="0" applyNumberForma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wrapText="1"/>
    </xf>
    <xf numFmtId="0" fontId="0" fillId="0" borderId="24" xfId="0" applyBorder="1" applyAlignment="1">
      <alignment horizontal="center"/>
    </xf>
    <xf numFmtId="0" fontId="2" fillId="0" borderId="25" xfId="0" applyFont="1" applyBorder="1" applyAlignment="1">
      <alignment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wrapText="1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33" xfId="0" applyFont="1" applyBorder="1" applyAlignment="1">
      <alignment horizontal="center" vertical="center"/>
    </xf>
    <xf numFmtId="164" fontId="1" fillId="2" borderId="34" xfId="0" applyNumberFormat="1" applyFont="1" applyFill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wrapText="1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 wrapText="1"/>
    </xf>
    <xf numFmtId="164" fontId="0" fillId="0" borderId="11" xfId="0" applyNumberFormat="1" applyFill="1" applyBorder="1" applyAlignment="1">
      <alignment horizontal="center" vertical="center" wrapText="1"/>
    </xf>
    <xf numFmtId="164" fontId="0" fillId="0" borderId="10" xfId="0" applyNumberFormat="1" applyFill="1" applyBorder="1" applyAlignment="1">
      <alignment horizontal="center" vertical="center"/>
    </xf>
    <xf numFmtId="164" fontId="0" fillId="0" borderId="9" xfId="0" applyNumberFormat="1" applyFill="1" applyBorder="1" applyAlignment="1">
      <alignment horizontal="center" vertical="center" wrapText="1"/>
    </xf>
    <xf numFmtId="164" fontId="0" fillId="0" borderId="14" xfId="0" applyNumberFormat="1" applyFill="1" applyBorder="1" applyAlignment="1">
      <alignment horizontal="center" vertical="center" wrapText="1"/>
    </xf>
    <xf numFmtId="164" fontId="0" fillId="0" borderId="8" xfId="0" applyNumberForma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8" xfId="0" quotePrefix="1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3" fillId="0" borderId="17" xfId="0" applyNumberFormat="1" applyFon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164" fontId="3" fillId="0" borderId="18" xfId="0" applyNumberFormat="1" applyFont="1" applyFill="1" applyBorder="1" applyAlignment="1">
      <alignment horizontal="center" vertical="center"/>
    </xf>
    <xf numFmtId="164" fontId="0" fillId="0" borderId="13" xfId="0" applyNumberForma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0" fillId="0" borderId="2" xfId="0" quotePrefix="1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4" fontId="0" fillId="0" borderId="8" xfId="0" quotePrefix="1" applyNumberFormat="1" applyBorder="1" applyAlignment="1">
      <alignment horizontal="center" vertical="center"/>
    </xf>
    <xf numFmtId="164" fontId="0" fillId="0" borderId="2" xfId="0" quotePrefix="1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30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2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8D56-E249-4510-8BB8-D50039FF955A}">
  <dimension ref="A1:AC23"/>
  <sheetViews>
    <sheetView tabSelected="1" zoomScaleNormal="100" workbookViewId="0">
      <pane xSplit="1" topLeftCell="O1" activePane="topRight" state="frozen"/>
      <selection pane="topRight" activeCell="AB2" sqref="AB2"/>
    </sheetView>
  </sheetViews>
  <sheetFormatPr defaultRowHeight="14.4"/>
  <cols>
    <col min="1" max="1" width="18.44140625" bestFit="1" customWidth="1"/>
    <col min="2" max="2" width="14" customWidth="1"/>
    <col min="3" max="3" width="12" bestFit="1" customWidth="1"/>
    <col min="4" max="4" width="13.44140625" bestFit="1" customWidth="1"/>
    <col min="5" max="5" width="12" bestFit="1" customWidth="1"/>
    <col min="6" max="6" width="13.44140625" bestFit="1" customWidth="1"/>
    <col min="7" max="7" width="12" bestFit="1" customWidth="1"/>
    <col min="8" max="8" width="13.44140625" bestFit="1" customWidth="1"/>
    <col min="9" max="9" width="12" bestFit="1" customWidth="1"/>
    <col min="10" max="10" width="13.5546875" bestFit="1" customWidth="1"/>
    <col min="11" max="11" width="12" bestFit="1" customWidth="1"/>
    <col min="12" max="27" width="12" customWidth="1"/>
    <col min="28" max="28" width="55.6640625" style="1" customWidth="1"/>
  </cols>
  <sheetData>
    <row r="1" spans="1:29">
      <c r="A1" s="16"/>
      <c r="B1" s="57">
        <v>2012</v>
      </c>
      <c r="C1" s="58"/>
      <c r="D1" s="57">
        <v>2013</v>
      </c>
      <c r="E1" s="68"/>
      <c r="F1" s="57">
        <v>2014</v>
      </c>
      <c r="G1" s="68"/>
      <c r="H1" s="57">
        <v>2015</v>
      </c>
      <c r="I1" s="68"/>
      <c r="J1" s="57">
        <v>2016</v>
      </c>
      <c r="K1" s="68"/>
      <c r="L1" s="57">
        <v>2017</v>
      </c>
      <c r="M1" s="68"/>
      <c r="N1" s="57">
        <v>2018</v>
      </c>
      <c r="O1" s="68"/>
      <c r="P1" s="57">
        <v>2019</v>
      </c>
      <c r="Q1" s="68"/>
      <c r="R1" s="57">
        <v>2020</v>
      </c>
      <c r="S1" s="58"/>
      <c r="T1" s="57">
        <v>2021</v>
      </c>
      <c r="U1" s="58"/>
      <c r="V1" s="57">
        <v>2022</v>
      </c>
      <c r="W1" s="58"/>
      <c r="X1" s="57">
        <v>2023</v>
      </c>
      <c r="Y1" s="58"/>
      <c r="Z1" s="57">
        <v>2024</v>
      </c>
      <c r="AA1" s="58"/>
      <c r="AB1" s="17"/>
    </row>
    <row r="2" spans="1:29" ht="15" thickBot="1">
      <c r="A2" s="18" t="s">
        <v>0</v>
      </c>
      <c r="B2" s="3" t="s">
        <v>26</v>
      </c>
      <c r="C2" s="4" t="s">
        <v>27</v>
      </c>
      <c r="D2" s="3" t="s">
        <v>28</v>
      </c>
      <c r="E2" s="2" t="s">
        <v>29</v>
      </c>
      <c r="F2" s="3" t="s">
        <v>30</v>
      </c>
      <c r="G2" s="2" t="s">
        <v>31</v>
      </c>
      <c r="H2" s="3" t="s">
        <v>32</v>
      </c>
      <c r="I2" s="2" t="s">
        <v>33</v>
      </c>
      <c r="J2" s="3" t="s">
        <v>34</v>
      </c>
      <c r="K2" s="2" t="s">
        <v>35</v>
      </c>
      <c r="L2" s="3" t="s">
        <v>36</v>
      </c>
      <c r="M2" s="2" t="s">
        <v>37</v>
      </c>
      <c r="N2" s="3" t="s">
        <v>38</v>
      </c>
      <c r="O2" s="2" t="s">
        <v>39</v>
      </c>
      <c r="P2" s="3" t="s">
        <v>40</v>
      </c>
      <c r="Q2" s="2" t="s">
        <v>41</v>
      </c>
      <c r="R2" s="3" t="s">
        <v>42</v>
      </c>
      <c r="S2" s="2" t="s">
        <v>43</v>
      </c>
      <c r="T2" s="3" t="s">
        <v>44</v>
      </c>
      <c r="U2" s="2" t="s">
        <v>45</v>
      </c>
      <c r="V2" s="3" t="s">
        <v>46</v>
      </c>
      <c r="W2" s="2" t="s">
        <v>47</v>
      </c>
      <c r="X2" s="3" t="s">
        <v>48</v>
      </c>
      <c r="Y2" s="2" t="s">
        <v>49</v>
      </c>
      <c r="Z2" s="3" t="s">
        <v>50</v>
      </c>
      <c r="AA2" s="2" t="s">
        <v>51</v>
      </c>
      <c r="AB2" s="19" t="s">
        <v>1</v>
      </c>
      <c r="AC2" s="14"/>
    </row>
    <row r="3" spans="1:29" ht="18.45" customHeight="1" thickTop="1">
      <c r="A3" s="20" t="s">
        <v>2</v>
      </c>
      <c r="B3" s="7">
        <v>26100</v>
      </c>
      <c r="C3" s="35">
        <f>(15864+226)+(15864+226)*0.05</f>
        <v>16894.5</v>
      </c>
      <c r="D3" s="7">
        <v>26100</v>
      </c>
      <c r="E3" s="35">
        <f>(14721+176)+(14721+176)*0.05</f>
        <v>15641.85</v>
      </c>
      <c r="F3" s="7">
        <v>26100</v>
      </c>
      <c r="G3" s="35">
        <f>(14498+137)+(14498+137)*0.05</f>
        <v>15366.75</v>
      </c>
      <c r="H3" s="7">
        <v>26100</v>
      </c>
      <c r="I3" s="35">
        <f>(13709+125)+(13709+125)*0.05</f>
        <v>14525.7</v>
      </c>
      <c r="J3" s="7">
        <v>26100</v>
      </c>
      <c r="K3" s="35">
        <f>(13965+111)+(13965+111)*0.05</f>
        <v>14779.8</v>
      </c>
      <c r="L3" s="7">
        <v>26100</v>
      </c>
      <c r="M3" s="35">
        <f>(14386+103)+(14386+103)*0.05</f>
        <v>15213.45</v>
      </c>
      <c r="N3" s="15">
        <v>44695</v>
      </c>
      <c r="O3" s="26">
        <f>(14587+89)+(14587+89)*0.05</f>
        <v>15409.8</v>
      </c>
      <c r="P3" s="15">
        <v>46146</v>
      </c>
      <c r="Q3" s="26">
        <f>(11178+70)+(11178+70)*0.05</f>
        <v>11810.4</v>
      </c>
      <c r="R3" s="15">
        <v>44031</v>
      </c>
      <c r="S3" s="26">
        <f>(9101+17)+(9101+17)*0.05</f>
        <v>9573.9</v>
      </c>
      <c r="T3" s="15">
        <v>44031</v>
      </c>
      <c r="U3" s="26">
        <v>10409</v>
      </c>
      <c r="V3" s="15">
        <v>44072</v>
      </c>
      <c r="W3" s="26">
        <v>11197</v>
      </c>
      <c r="X3" s="36">
        <v>44082</v>
      </c>
      <c r="Y3" s="35">
        <v>10267</v>
      </c>
      <c r="Z3" s="36">
        <v>44065</v>
      </c>
      <c r="AA3" s="35">
        <v>7868</v>
      </c>
      <c r="AB3" s="21"/>
    </row>
    <row r="4" spans="1:29" ht="21.45" customHeight="1">
      <c r="A4" s="22" t="s">
        <v>3</v>
      </c>
      <c r="B4" s="5">
        <v>96600</v>
      </c>
      <c r="C4" s="5">
        <f>18054+(18054)*0.12</f>
        <v>20220.48</v>
      </c>
      <c r="D4" s="5">
        <v>96600</v>
      </c>
      <c r="E4" s="5">
        <f>18551+(18551)*0.12</f>
        <v>20777.12</v>
      </c>
      <c r="F4" s="5">
        <v>60313</v>
      </c>
      <c r="G4" s="5">
        <f>18227+(18227)*0.12</f>
        <v>20414.239999999998</v>
      </c>
      <c r="H4" s="5">
        <v>51804</v>
      </c>
      <c r="I4" s="5">
        <f>18154+(18154)*0.12</f>
        <v>20332.48</v>
      </c>
      <c r="J4" s="5">
        <v>48197</v>
      </c>
      <c r="K4" s="5">
        <v>18344</v>
      </c>
      <c r="L4" s="6">
        <v>44469</v>
      </c>
      <c r="M4" s="5">
        <v>17761</v>
      </c>
      <c r="N4" s="5">
        <v>29363</v>
      </c>
      <c r="O4" s="5">
        <v>17344</v>
      </c>
      <c r="P4" s="5">
        <v>56419</v>
      </c>
      <c r="Q4" s="5">
        <v>16593</v>
      </c>
      <c r="R4" s="5">
        <v>56289</v>
      </c>
      <c r="S4" s="8">
        <v>13159</v>
      </c>
      <c r="T4" s="5">
        <v>47917</v>
      </c>
      <c r="U4" s="8">
        <v>13171</v>
      </c>
      <c r="V4" s="5">
        <v>44522</v>
      </c>
      <c r="W4" s="8">
        <v>12403</v>
      </c>
      <c r="X4" s="8">
        <v>42237</v>
      </c>
      <c r="Y4" s="8">
        <v>12333</v>
      </c>
      <c r="Z4" s="8">
        <v>40946</v>
      </c>
      <c r="AA4" s="8">
        <v>9647</v>
      </c>
      <c r="AB4" s="21"/>
    </row>
    <row r="5" spans="1:29" ht="29.1" customHeight="1">
      <c r="A5" s="23" t="s">
        <v>4</v>
      </c>
      <c r="B5" s="5">
        <f>(11.58*1000000)*0.000453592</f>
        <v>5252.5953600000003</v>
      </c>
      <c r="C5" s="5">
        <f>(8.16*1000000)*0.000453592</f>
        <v>3701.3107199999999</v>
      </c>
      <c r="D5" s="5">
        <f>(10.23*1000000)*0.000453592</f>
        <v>4640.2461599999997</v>
      </c>
      <c r="E5" s="5">
        <f>(8.6*1000000)*0.000453592</f>
        <v>3900.8912</v>
      </c>
      <c r="F5" s="5">
        <f>(9.07*1000000)*0.000453592</f>
        <v>4114.0794400000004</v>
      </c>
      <c r="G5" s="5">
        <f>(9.48*1000000)*0.000453592</f>
        <v>4300.0521600000002</v>
      </c>
      <c r="H5" s="5">
        <f>(9.44*1000000)*0.000453592</f>
        <v>4281.9084800000001</v>
      </c>
      <c r="I5" s="5">
        <f>(6.11*1000000)*0.000453592</f>
        <v>2771.4471199999998</v>
      </c>
      <c r="J5" s="5">
        <f>(6.83*1000000)*0.000453592</f>
        <v>3098.0333599999999</v>
      </c>
      <c r="K5" s="5">
        <f>(7.66*1000000)*0.000453592</f>
        <v>3474.5147200000001</v>
      </c>
      <c r="L5" s="6">
        <f>(4.72*1000000)*0.000453592</f>
        <v>2140.95424</v>
      </c>
      <c r="M5" s="5">
        <f>(4.16*1000000)*0.000453592</f>
        <v>1886.94272</v>
      </c>
      <c r="N5" s="5">
        <f>(5.53*1000000)*0.000453592</f>
        <v>2508.3637600000002</v>
      </c>
      <c r="O5" s="5">
        <f>(4.32*1000000)*0.000453592</f>
        <v>1959.5174400000001</v>
      </c>
      <c r="P5" s="5">
        <f>(11.51*1000000)*0.000453592</f>
        <v>5220.8439200000003</v>
      </c>
      <c r="Q5" s="5">
        <f>(10.84*1000000)*0.000453592</f>
        <v>4916.9372800000001</v>
      </c>
      <c r="R5" s="5">
        <f>(11.51*1000000)*0.000453592</f>
        <v>5220.8439200000003</v>
      </c>
      <c r="S5" s="8">
        <v>5715.3</v>
      </c>
      <c r="T5" s="5">
        <v>5660.8</v>
      </c>
      <c r="U5" s="8">
        <v>4091.4</v>
      </c>
      <c r="V5" s="5">
        <v>6640.6</v>
      </c>
      <c r="W5" s="8">
        <v>5252.6</v>
      </c>
      <c r="X5" s="8">
        <v>6758.5</v>
      </c>
      <c r="Y5" s="8">
        <v>5216.3</v>
      </c>
      <c r="Z5" s="8">
        <v>3941.7</v>
      </c>
      <c r="AA5" s="8">
        <v>3642.3</v>
      </c>
      <c r="AB5" s="24"/>
    </row>
    <row r="6" spans="1:29" ht="33" customHeight="1">
      <c r="A6" s="23" t="s">
        <v>5</v>
      </c>
      <c r="B6" s="5">
        <f>(14*1000000)*0.000453592</f>
        <v>6350.2880000000005</v>
      </c>
      <c r="C6" s="5">
        <f>((13.03+1.58)*100000)*0.00453592</f>
        <v>6626.97912</v>
      </c>
      <c r="D6" s="5">
        <f>(12.1*1000000)*0.000453592</f>
        <v>5488.4632000000001</v>
      </c>
      <c r="E6" s="5">
        <f>((14.49+1.57)*1000000)*0.000453592</f>
        <v>7284.6875199999995</v>
      </c>
      <c r="F6" s="5">
        <f>(12.9*1000000)*0.000453592</f>
        <v>5851.3368</v>
      </c>
      <c r="G6" s="5">
        <f>((11.07+1.73)*1000000)*0.000453592</f>
        <v>5805.9776000000002</v>
      </c>
      <c r="H6" s="5">
        <f>(13.3*1000000)*0.000453592</f>
        <v>6032.7736000000004</v>
      </c>
      <c r="I6" s="5">
        <f>((10.68+1.48)*1000000)*0.000453592</f>
        <v>5515.6787199999999</v>
      </c>
      <c r="J6" s="5">
        <f>(9.4*1000000)*0.000453592</f>
        <v>4263.7647999999999</v>
      </c>
      <c r="K6" s="5">
        <f>((7.81+1.63)*1000000)*0.000453592</f>
        <v>4281.9084800000001</v>
      </c>
      <c r="L6" s="6">
        <f>(6.57*1000000)*0.000453592</f>
        <v>2980.09944</v>
      </c>
      <c r="M6" s="5">
        <f>(7.83*1000000)*0.000453592</f>
        <v>3551.62536</v>
      </c>
      <c r="N6" s="5">
        <f>(7.7*1000000)*0.000453592</f>
        <v>3492.6583999999998</v>
      </c>
      <c r="O6" s="5">
        <f>(8.3*1000000)*0.000453592</f>
        <v>3764.8136000000004</v>
      </c>
      <c r="P6" s="5">
        <f>(13.53*1000000)*0.000453592</f>
        <v>6137.0997600000001</v>
      </c>
      <c r="Q6" s="5">
        <f>(10.79*1000000)*0.000453592</f>
        <v>4894.2576799999997</v>
      </c>
      <c r="R6" s="5">
        <f>(13.53*1000000)*0.000453592</f>
        <v>6137.0997600000001</v>
      </c>
      <c r="S6" s="8">
        <v>5293.4</v>
      </c>
      <c r="T6" s="5">
        <v>6636</v>
      </c>
      <c r="U6" s="8">
        <v>5660.8</v>
      </c>
      <c r="V6" s="5">
        <v>8382.4</v>
      </c>
      <c r="W6" s="8">
        <v>6336.7</v>
      </c>
      <c r="X6" s="8">
        <v>8259.9</v>
      </c>
      <c r="Y6" s="8">
        <v>6613.4</v>
      </c>
      <c r="Z6" s="8">
        <v>4817.1000000000004</v>
      </c>
      <c r="AA6" s="8">
        <v>4862.5</v>
      </c>
      <c r="AB6" s="21"/>
    </row>
    <row r="7" spans="1:29" ht="31.5" customHeight="1">
      <c r="A7" s="25" t="s">
        <v>6</v>
      </c>
      <c r="B7" s="5">
        <f>(8.99*1000000)*0.000453592</f>
        <v>4077.7920800000002</v>
      </c>
      <c r="C7" s="5">
        <f>(4.41*1000000)*0.000453592</f>
        <v>2000.3407199999999</v>
      </c>
      <c r="D7" s="5">
        <f>(8.52*1000000)*0.000453592</f>
        <v>3864.6038400000002</v>
      </c>
      <c r="E7" s="5">
        <f>(5.95*1000000)*0.000453592</f>
        <v>2698.8724000000002</v>
      </c>
      <c r="F7" s="5">
        <f>(7.92*1000000)*0.000453592</f>
        <v>3592.4486400000001</v>
      </c>
      <c r="G7" s="5">
        <f>(5.18*1000000)*0.000453592</f>
        <v>2349.6065600000002</v>
      </c>
      <c r="H7" s="5">
        <f>(7.43*1000000)*0.000453592</f>
        <v>3370.1885600000001</v>
      </c>
      <c r="I7" s="5">
        <f>(5.56*1000000)*0.000453592</f>
        <v>2521.9715200000001</v>
      </c>
      <c r="J7" s="5">
        <f>(6.84*1000000)*0.000453592</f>
        <v>3102.5692800000002</v>
      </c>
      <c r="K7" s="5">
        <f>(5.04*1000000)*0.000453592</f>
        <v>2286.1036800000002</v>
      </c>
      <c r="L7" s="6">
        <f>(6.25*1000000)*0.000453592</f>
        <v>2834.95</v>
      </c>
      <c r="M7" s="26">
        <f>(6.23*1000000)*0.000453592</f>
        <v>2825.8781600000002</v>
      </c>
      <c r="N7" s="5">
        <f>(8.61*1000000)*0.000453592</f>
        <v>3905.4271199999998</v>
      </c>
      <c r="O7" s="5">
        <f>(6.21*1000000)*0.000453592</f>
        <v>2816.8063200000001</v>
      </c>
      <c r="P7" s="7">
        <f>(8.01*1000000)*0.000453592</f>
        <v>3633.2719200000001</v>
      </c>
      <c r="Q7" s="5">
        <f>(6.64*1000000)*0.000453592</f>
        <v>3011.85088</v>
      </c>
      <c r="R7" s="7">
        <f>(7.87*1000000)*0.000453592</f>
        <v>3569.7690400000001</v>
      </c>
      <c r="S7" s="8">
        <v>6395.6</v>
      </c>
      <c r="T7" s="7">
        <v>3474.5</v>
      </c>
      <c r="U7" s="8">
        <v>8191.9</v>
      </c>
      <c r="V7" s="7">
        <v>3202.4</v>
      </c>
      <c r="W7" s="8">
        <v>8613.7000000000007</v>
      </c>
      <c r="X7" s="8">
        <v>4712.8</v>
      </c>
      <c r="Y7" s="8">
        <v>6010.09</v>
      </c>
      <c r="Z7" s="8">
        <v>6958.1</v>
      </c>
      <c r="AA7" s="8">
        <v>5728.86</v>
      </c>
      <c r="AB7" s="21"/>
    </row>
    <row r="8" spans="1:29" ht="18.75" customHeight="1">
      <c r="A8" s="22" t="s">
        <v>7</v>
      </c>
      <c r="B8" s="5">
        <f>(31.89*1000000)*0.000453592</f>
        <v>14465.04888</v>
      </c>
      <c r="C8" s="5">
        <f>((14.88+2.21)*1000000)*0.000453592</f>
        <v>7751.8872799999999</v>
      </c>
      <c r="D8" s="5">
        <f>(30.19*1000000)*0.000453592</f>
        <v>13693.94248</v>
      </c>
      <c r="E8" s="5">
        <f>((17.87+2.87)*1000000)*0.000453592</f>
        <v>9407.4980800000012</v>
      </c>
      <c r="F8" s="5">
        <f>(28.07*1000000)*0.000453592</f>
        <v>12732.327440000001</v>
      </c>
      <c r="G8" s="5">
        <f>((15.96+2.21)*1000000)*0.000453592</f>
        <v>8241.7666399999998</v>
      </c>
      <c r="H8" s="5">
        <f>(26.35*1000000)*0.000453592</f>
        <v>11952.1492</v>
      </c>
      <c r="I8" s="5">
        <f>((17.03+3.97)*1000000)*0.000453592</f>
        <v>9525.4320000000007</v>
      </c>
      <c r="J8" s="5">
        <f>(24.26*1000000)*0.000453592</f>
        <v>11004.14192</v>
      </c>
      <c r="K8" s="5">
        <f>((15.76+6.11)*1000000)*0.000453592</f>
        <v>9920.0570399999997</v>
      </c>
      <c r="L8" s="6">
        <f>(22.15*1000000)*0.000453592</f>
        <v>10047.0628</v>
      </c>
      <c r="M8" s="5">
        <f>(25.88*1000000)*0.000453592</f>
        <v>11738.96096</v>
      </c>
      <c r="N8" s="5">
        <f>(30.53*1000000)*0.000453592</f>
        <v>13848.163759999999</v>
      </c>
      <c r="O8" s="5">
        <f>(20.63*1000000)*0.000453592</f>
        <v>9357.6029600000002</v>
      </c>
      <c r="P8" s="5">
        <f>(28.42*1000000)*0.000453592</f>
        <v>12891.084640000001</v>
      </c>
      <c r="Q8" s="5">
        <f>(19.03*1000000)*0.000453592</f>
        <v>8631.8557600000004</v>
      </c>
      <c r="R8" s="5">
        <f>(27.9*1000000)*0.000453592</f>
        <v>12655.2168</v>
      </c>
      <c r="S8" s="8">
        <v>8772.5</v>
      </c>
      <c r="T8" s="5">
        <v>12315</v>
      </c>
      <c r="U8" s="8">
        <v>7761</v>
      </c>
      <c r="V8" s="5">
        <v>11362.5</v>
      </c>
      <c r="W8" s="8">
        <v>7670.2</v>
      </c>
      <c r="X8" s="8">
        <v>8749.7999999999993</v>
      </c>
      <c r="Y8" s="8">
        <v>9053.69</v>
      </c>
      <c r="Z8" s="8">
        <v>12918.3</v>
      </c>
      <c r="AA8" s="8">
        <v>11267.22</v>
      </c>
      <c r="AB8" s="21"/>
    </row>
    <row r="9" spans="1:29" s="12" customFormat="1" ht="28.8">
      <c r="A9" s="27" t="s">
        <v>8</v>
      </c>
      <c r="B9" s="10">
        <f>(2.52*1000000)*0.000453592</f>
        <v>1143.0518400000001</v>
      </c>
      <c r="C9" s="10">
        <f>(4.04*1000000)*0.000453592</f>
        <v>1832.5116800000001</v>
      </c>
      <c r="D9" s="10">
        <f>(2.9*1000000)*0.000453592</f>
        <v>1315.4168</v>
      </c>
      <c r="E9" s="10">
        <f>(3.13*1000000)*0.000453592</f>
        <v>1419.74296</v>
      </c>
      <c r="F9" s="10">
        <f>(2.9*1000000)*0.000453592</f>
        <v>1315.4168</v>
      </c>
      <c r="G9" s="10">
        <v>1664.7</v>
      </c>
      <c r="H9" s="10">
        <f>(2.9*1000000)*0.000453592</f>
        <v>1315.4168</v>
      </c>
      <c r="I9" s="10">
        <v>1719.1</v>
      </c>
      <c r="J9" s="10">
        <f>(3.52*1000000)*0.000453592</f>
        <v>1596.64384</v>
      </c>
      <c r="K9" s="10">
        <v>2354.1</v>
      </c>
      <c r="L9" s="11">
        <f>(5.38*1000000)*0.000453592</f>
        <v>2440.3249599999999</v>
      </c>
      <c r="M9" s="10">
        <v>1886.9</v>
      </c>
      <c r="N9" s="10">
        <f>(4.59*1000000)*0.000453592</f>
        <v>2081.9872799999998</v>
      </c>
      <c r="O9" s="10">
        <v>1732.7</v>
      </c>
      <c r="P9" s="10">
        <f>(4.59*1000000)*0.000453592</f>
        <v>2081.9872799999998</v>
      </c>
      <c r="Q9" s="10">
        <v>1569.4</v>
      </c>
      <c r="R9" s="10">
        <f>(8.09*1000000)*0.000453592</f>
        <v>3669.5592799999999</v>
      </c>
      <c r="S9" s="9">
        <v>5488.3</v>
      </c>
      <c r="T9" s="10">
        <v>3596.98</v>
      </c>
      <c r="U9" s="9">
        <v>7037.7</v>
      </c>
      <c r="V9" s="10">
        <v>3973.46</v>
      </c>
      <c r="W9" s="9">
        <v>5368.3</v>
      </c>
      <c r="X9" s="9">
        <v>4154.8999999999996</v>
      </c>
      <c r="Y9" s="9">
        <v>4989.51</v>
      </c>
      <c r="Z9" s="9">
        <v>4154.8999999999996</v>
      </c>
      <c r="AA9" s="9">
        <v>3982.53</v>
      </c>
      <c r="AB9" s="28"/>
    </row>
    <row r="10" spans="1:29" s="12" customFormat="1" ht="28.8">
      <c r="A10" s="27" t="s">
        <v>9</v>
      </c>
      <c r="B10" s="10">
        <f>(1.98*1000000)*0.000453592</f>
        <v>898.11216000000002</v>
      </c>
      <c r="C10" s="10">
        <v>911.1</v>
      </c>
      <c r="D10" s="10">
        <f>(2.6*1000000)*0.000453592</f>
        <v>1179.3392000000001</v>
      </c>
      <c r="E10" s="10">
        <v>1251.7</v>
      </c>
      <c r="F10" s="10">
        <f>(2.6*1000000)*0.000453592</f>
        <v>1179.3392000000001</v>
      </c>
      <c r="G10" s="10">
        <v>1548.3</v>
      </c>
      <c r="H10" s="10">
        <f>(2.6*1000000)*0.000453592</f>
        <v>1179.3392000000001</v>
      </c>
      <c r="I10" s="10">
        <v>1450.9</v>
      </c>
      <c r="J10" s="10">
        <f>(3.15*1000000)*0.000453592</f>
        <v>1428.8148000000001</v>
      </c>
      <c r="K10" s="10">
        <v>1710.7</v>
      </c>
      <c r="L10" s="11">
        <f>(5.09*1000000)*0.000453592</f>
        <v>2308.7832800000001</v>
      </c>
      <c r="M10" s="10">
        <v>2783.3</v>
      </c>
      <c r="N10" s="10">
        <f>(4.35*1000000)*0.000453592</f>
        <v>1973.1251999999999</v>
      </c>
      <c r="O10" s="10">
        <v>2237.1</v>
      </c>
      <c r="P10" s="10">
        <f>(4.35*1000000)*0.000453592</f>
        <v>1973.1251999999999</v>
      </c>
      <c r="Q10" s="10">
        <v>2531.1</v>
      </c>
      <c r="R10" s="10">
        <f>(6.98*1000000)*0.000453592</f>
        <v>3166.0721600000002</v>
      </c>
      <c r="S10" s="9">
        <v>2371.8000000000002</v>
      </c>
      <c r="T10" s="10">
        <v>4318.2</v>
      </c>
      <c r="U10" s="9">
        <v>2651.7</v>
      </c>
      <c r="V10" s="10">
        <v>4581.2700000000004</v>
      </c>
      <c r="W10" s="9">
        <v>3076.6</v>
      </c>
      <c r="X10" s="9">
        <v>3401.9</v>
      </c>
      <c r="Y10" s="9">
        <v>2676.19</v>
      </c>
      <c r="Z10" s="9">
        <v>3401.9</v>
      </c>
      <c r="AA10" s="9">
        <v>3556.16</v>
      </c>
      <c r="AB10" s="28"/>
    </row>
    <row r="11" spans="1:29">
      <c r="A11" s="62" t="s">
        <v>10</v>
      </c>
      <c r="B11" s="64">
        <v>43781</v>
      </c>
      <c r="C11" s="51">
        <v>8036</v>
      </c>
      <c r="D11" s="64">
        <v>43781</v>
      </c>
      <c r="E11" s="51">
        <v>6798</v>
      </c>
      <c r="F11" s="64">
        <v>43781</v>
      </c>
      <c r="G11" s="51">
        <v>8252</v>
      </c>
      <c r="H11" s="64">
        <v>25039</v>
      </c>
      <c r="I11" s="51">
        <v>9904</v>
      </c>
      <c r="J11" s="64">
        <v>11009</v>
      </c>
      <c r="K11" s="64">
        <v>10274</v>
      </c>
      <c r="L11" s="64">
        <v>11009</v>
      </c>
      <c r="M11" s="64">
        <v>11219</v>
      </c>
      <c r="N11" s="49">
        <v>11009</v>
      </c>
      <c r="O11" s="49">
        <v>11288</v>
      </c>
      <c r="P11" s="49">
        <v>19184</v>
      </c>
      <c r="Q11" s="49">
        <v>7696</v>
      </c>
      <c r="R11" s="49">
        <v>19184</v>
      </c>
      <c r="S11" s="49">
        <v>10232</v>
      </c>
      <c r="T11" s="49">
        <v>19184</v>
      </c>
      <c r="U11" s="49">
        <v>8020</v>
      </c>
      <c r="V11" s="49">
        <v>19184</v>
      </c>
      <c r="W11" s="49">
        <v>3397</v>
      </c>
      <c r="X11" s="49">
        <v>5897</v>
      </c>
      <c r="Y11" s="49">
        <v>5582</v>
      </c>
      <c r="Z11" s="49">
        <v>3126</v>
      </c>
      <c r="AA11" s="49">
        <v>3157</v>
      </c>
      <c r="AB11" s="69" t="s">
        <v>21</v>
      </c>
    </row>
    <row r="12" spans="1:29">
      <c r="A12" s="63"/>
      <c r="B12" s="65"/>
      <c r="C12" s="52"/>
      <c r="D12" s="65"/>
      <c r="E12" s="52"/>
      <c r="F12" s="65"/>
      <c r="G12" s="52"/>
      <c r="H12" s="65"/>
      <c r="I12" s="52"/>
      <c r="J12" s="65"/>
      <c r="K12" s="65"/>
      <c r="L12" s="65"/>
      <c r="M12" s="65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0"/>
      <c r="Y12" s="50"/>
      <c r="Z12" s="50"/>
      <c r="AA12" s="50"/>
      <c r="AB12" s="70"/>
    </row>
    <row r="13" spans="1:29" ht="28.8">
      <c r="A13" s="22" t="s">
        <v>11</v>
      </c>
      <c r="B13" s="5">
        <v>4200</v>
      </c>
      <c r="C13" s="5">
        <v>1634</v>
      </c>
      <c r="D13" s="5">
        <v>8400</v>
      </c>
      <c r="E13" s="5">
        <v>1525</v>
      </c>
      <c r="F13" s="5">
        <v>9100</v>
      </c>
      <c r="G13" s="5">
        <v>4182</v>
      </c>
      <c r="H13" s="5">
        <v>33278</v>
      </c>
      <c r="I13" s="5">
        <v>2934</v>
      </c>
      <c r="J13" s="5">
        <v>31412</v>
      </c>
      <c r="K13" s="5">
        <v>2731</v>
      </c>
      <c r="L13" s="5">
        <v>30922</v>
      </c>
      <c r="M13" s="5">
        <v>4629</v>
      </c>
      <c r="N13" s="37">
        <v>17801</v>
      </c>
      <c r="O13" s="37">
        <v>3061</v>
      </c>
      <c r="P13" s="38">
        <v>27108</v>
      </c>
      <c r="Q13" s="37">
        <v>5085</v>
      </c>
      <c r="R13" s="38">
        <v>32063</v>
      </c>
      <c r="S13" s="39">
        <v>4977</v>
      </c>
      <c r="T13" s="38">
        <v>11993</v>
      </c>
      <c r="U13" s="39">
        <v>3321</v>
      </c>
      <c r="V13" s="38">
        <v>17854</v>
      </c>
      <c r="W13" s="40">
        <v>4486</v>
      </c>
      <c r="X13" s="40">
        <v>17267</v>
      </c>
      <c r="Y13" s="40">
        <v>4110</v>
      </c>
      <c r="Z13" s="40">
        <v>15764</v>
      </c>
      <c r="AA13" s="40" t="s">
        <v>22</v>
      </c>
      <c r="AB13" s="21" t="s">
        <v>23</v>
      </c>
    </row>
    <row r="14" spans="1:29" ht="28.8">
      <c r="A14" s="22" t="s">
        <v>12</v>
      </c>
      <c r="B14" s="5">
        <v>23400</v>
      </c>
      <c r="C14" s="5">
        <v>13187</v>
      </c>
      <c r="D14" s="5">
        <v>23400</v>
      </c>
      <c r="E14" s="5">
        <v>11336</v>
      </c>
      <c r="F14" s="5">
        <v>23400</v>
      </c>
      <c r="G14" s="5">
        <v>12278</v>
      </c>
      <c r="H14" s="5">
        <v>23400</v>
      </c>
      <c r="I14" s="5">
        <v>12050</v>
      </c>
      <c r="J14" s="5">
        <v>23400</v>
      </c>
      <c r="K14" s="5">
        <v>18680</v>
      </c>
      <c r="L14" s="5">
        <v>23400</v>
      </c>
      <c r="M14" s="5">
        <f>8187.93+131</f>
        <v>8318.93</v>
      </c>
      <c r="N14" s="37">
        <v>23400</v>
      </c>
      <c r="O14" s="41">
        <f>11632.17+134</f>
        <v>11766.17</v>
      </c>
      <c r="P14" s="37">
        <v>23400</v>
      </c>
      <c r="Q14" s="37">
        <v>12773</v>
      </c>
      <c r="R14" s="37">
        <v>23400</v>
      </c>
      <c r="S14" s="42">
        <v>10035</v>
      </c>
      <c r="T14" s="43">
        <v>23400</v>
      </c>
      <c r="U14" s="42">
        <v>11339</v>
      </c>
      <c r="V14" s="43">
        <v>23400</v>
      </c>
      <c r="W14" s="42">
        <v>18936</v>
      </c>
      <c r="X14" s="44">
        <v>23400</v>
      </c>
      <c r="Y14" s="40" t="s">
        <v>22</v>
      </c>
      <c r="Z14" s="38">
        <v>23400</v>
      </c>
      <c r="AA14" s="40" t="s">
        <v>22</v>
      </c>
      <c r="AB14" s="21" t="s">
        <v>24</v>
      </c>
    </row>
    <row r="15" spans="1:29" ht="18" customHeight="1">
      <c r="A15" s="22" t="s">
        <v>13</v>
      </c>
      <c r="B15" s="5">
        <v>24000</v>
      </c>
      <c r="C15" s="5">
        <v>12211</v>
      </c>
      <c r="D15" s="5">
        <v>24000</v>
      </c>
      <c r="E15" s="5">
        <v>4107</v>
      </c>
      <c r="F15" s="5">
        <v>24000</v>
      </c>
      <c r="G15" s="5">
        <v>9342</v>
      </c>
      <c r="H15" s="5">
        <v>24000</v>
      </c>
      <c r="I15" s="5">
        <v>2873</v>
      </c>
      <c r="J15" s="5">
        <v>24000</v>
      </c>
      <c r="K15" s="45">
        <v>7004</v>
      </c>
      <c r="L15" s="5">
        <v>24000</v>
      </c>
      <c r="M15" s="45">
        <v>23371</v>
      </c>
      <c r="N15" s="37">
        <v>24000</v>
      </c>
      <c r="O15" s="41">
        <v>25524</v>
      </c>
      <c r="P15" s="37">
        <v>26000</v>
      </c>
      <c r="Q15" s="41">
        <v>28495</v>
      </c>
      <c r="R15" s="37">
        <v>30000</v>
      </c>
      <c r="S15" s="37">
        <v>29516</v>
      </c>
      <c r="T15" s="37">
        <v>33000</v>
      </c>
      <c r="U15" s="37">
        <v>31302</v>
      </c>
      <c r="V15" s="37">
        <v>33000</v>
      </c>
      <c r="W15" s="37">
        <v>6241</v>
      </c>
      <c r="X15" s="38">
        <v>33000</v>
      </c>
      <c r="Y15" s="48">
        <v>5867</v>
      </c>
      <c r="Z15" s="38">
        <v>40000</v>
      </c>
      <c r="AA15" s="48">
        <v>6840</v>
      </c>
      <c r="AB15" s="21"/>
    </row>
    <row r="16" spans="1:29" ht="28.8">
      <c r="A16" s="29" t="s">
        <v>14</v>
      </c>
      <c r="B16" s="5">
        <f>(1.995*1000000)*0.000453592</f>
        <v>904.91603999999995</v>
      </c>
      <c r="C16" s="5">
        <v>861.91</v>
      </c>
      <c r="D16" s="5">
        <f>(2.013*1000000)*0.000453592</f>
        <v>913.08069599999999</v>
      </c>
      <c r="E16" s="5">
        <v>870.49</v>
      </c>
      <c r="F16" s="5">
        <f>(2.013*1000000)*0.000453592</f>
        <v>913.08069599999999</v>
      </c>
      <c r="G16" s="5">
        <v>837.19</v>
      </c>
      <c r="H16" s="5">
        <f>(1.766*1000000)*0.000453592</f>
        <v>801.04347199999995</v>
      </c>
      <c r="I16" s="5">
        <v>629.87</v>
      </c>
      <c r="J16" s="5">
        <f>(1.898*1000000)*0.000453592</f>
        <v>860.91761599999995</v>
      </c>
      <c r="K16" s="5">
        <v>521.62</v>
      </c>
      <c r="L16" s="6">
        <f>(1.898*1000000)*0.000453592</f>
        <v>860.91761599999995</v>
      </c>
      <c r="M16" s="5">
        <v>717.31</v>
      </c>
      <c r="N16" s="5">
        <f>(1.636*1000000)*0.000453592</f>
        <v>742.07651199999998</v>
      </c>
      <c r="O16" s="5">
        <v>750.55</v>
      </c>
      <c r="P16" s="5">
        <f>(1.636*1000000)*0.000453592</f>
        <v>742.07651199999998</v>
      </c>
      <c r="Q16" s="5">
        <v>720.46</v>
      </c>
      <c r="R16" s="5">
        <f>(1.636*1000000)*0.000453592</f>
        <v>742.07651199999998</v>
      </c>
      <c r="S16" s="8">
        <v>656.98</v>
      </c>
      <c r="T16" s="5">
        <v>742.1</v>
      </c>
      <c r="U16" s="8">
        <v>751.11</v>
      </c>
      <c r="V16" s="5">
        <v>890.85</v>
      </c>
      <c r="W16" s="8">
        <v>709.75</v>
      </c>
      <c r="X16" s="8">
        <v>890.9</v>
      </c>
      <c r="Y16" s="8">
        <v>681.59</v>
      </c>
      <c r="Z16" s="8">
        <v>890.9</v>
      </c>
      <c r="AA16" s="8">
        <v>807.35</v>
      </c>
      <c r="AB16" s="21" t="s">
        <v>20</v>
      </c>
    </row>
    <row r="17" spans="1:28" ht="28.8">
      <c r="A17" s="30" t="s">
        <v>15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11">
        <f>63533*0.000453592</f>
        <v>28.818060536000001</v>
      </c>
      <c r="M17" s="10">
        <f>44103*0.000453592</f>
        <v>20.004767976</v>
      </c>
      <c r="N17" s="47">
        <f>63533*0.000453592</f>
        <v>28.818060536000001</v>
      </c>
      <c r="O17" s="10">
        <f>76548*0.000453592</f>
        <v>34.721560416000003</v>
      </c>
      <c r="P17" s="10">
        <f>73380*0.000453592</f>
        <v>33.28458096</v>
      </c>
      <c r="Q17" s="10">
        <f>69354*0.000453592</f>
        <v>31.458419568</v>
      </c>
      <c r="R17" s="10">
        <f>73380*0.000453592</f>
        <v>33.28458096</v>
      </c>
      <c r="S17" s="9">
        <f>49658*0.000453592</f>
        <v>22.524471536</v>
      </c>
      <c r="T17" s="10">
        <v>33.28</v>
      </c>
      <c r="U17" s="9">
        <v>28.66</v>
      </c>
      <c r="V17" s="10">
        <v>33.28</v>
      </c>
      <c r="W17" s="9">
        <v>28.52</v>
      </c>
      <c r="X17" s="9">
        <v>33.299999999999997</v>
      </c>
      <c r="Y17" s="9">
        <v>37.299999999999997</v>
      </c>
      <c r="Z17" s="9">
        <v>33.28</v>
      </c>
      <c r="AA17" s="9">
        <f>74365*0.000453592</f>
        <v>33.73136908</v>
      </c>
      <c r="AB17" s="21"/>
    </row>
    <row r="18" spans="1:28" ht="28.8">
      <c r="A18" s="30" t="s">
        <v>16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11">
        <f>23498*0.000453592</f>
        <v>10.658504816000001</v>
      </c>
      <c r="M18" s="10">
        <f>10734*0.000453592</f>
        <v>4.8688565280000002</v>
      </c>
      <c r="N18" s="10">
        <f>23498*0.000453592</f>
        <v>10.658504816000001</v>
      </c>
      <c r="O18" s="10">
        <f>13068*0.000453592</f>
        <v>5.9275402560000003</v>
      </c>
      <c r="P18" s="10">
        <f>27140*0.000453592</f>
        <v>12.310486880000001</v>
      </c>
      <c r="Q18" s="10">
        <f>22759*0.000453592</f>
        <v>10.323300328</v>
      </c>
      <c r="R18" s="10">
        <f>27140*0.000453592</f>
        <v>12.310486880000001</v>
      </c>
      <c r="S18" s="9">
        <f>31270*0.000453592</f>
        <v>14.18382184</v>
      </c>
      <c r="T18" s="10">
        <v>12.31</v>
      </c>
      <c r="U18" s="9">
        <v>11.994999999999999</v>
      </c>
      <c r="V18" s="10">
        <v>12.31</v>
      </c>
      <c r="W18" s="9">
        <v>6.36</v>
      </c>
      <c r="X18" s="9">
        <v>12.3</v>
      </c>
      <c r="Y18" s="9">
        <v>14.3</v>
      </c>
      <c r="Z18" s="9">
        <f>22670*0.000453592</f>
        <v>10.28293064</v>
      </c>
      <c r="AA18" s="9">
        <f>28376*0.000453592</f>
        <v>12.871126592</v>
      </c>
      <c r="AB18" s="21"/>
    </row>
    <row r="19" spans="1:28">
      <c r="A19" s="62" t="s">
        <v>17</v>
      </c>
      <c r="B19" s="51">
        <f>(32.04*1000000)*0.000453592</f>
        <v>14533.087680000001</v>
      </c>
      <c r="C19" s="51">
        <f>(19.26*1000000)*0.000453592</f>
        <v>8736.1819200000009</v>
      </c>
      <c r="D19" s="51">
        <f>(27.47*1000000)*0.000453592</f>
        <v>12460.17224</v>
      </c>
      <c r="E19" s="51">
        <f>(24.06*1000000)*0.000453592</f>
        <v>10913.42352</v>
      </c>
      <c r="F19" s="51">
        <f>(24.43*1000000)*0.000453592</f>
        <v>11081.252560000001</v>
      </c>
      <c r="G19" s="51">
        <f>(17.96*1000000)*0.000453592</f>
        <v>8146.5123199999998</v>
      </c>
      <c r="H19" s="51">
        <f>(21.54*1000000)*0.000453592</f>
        <v>9770.3716800000002</v>
      </c>
      <c r="I19" s="51">
        <f>(18.65*1000000)*0.000453592</f>
        <v>8459.4907999999996</v>
      </c>
      <c r="J19" s="51">
        <f>(19.45*1000000)*0.000453592</f>
        <v>8822.3644000000004</v>
      </c>
      <c r="K19" s="51">
        <f>(16.09*1000000)*0.000453592</f>
        <v>7298.2952800000003</v>
      </c>
      <c r="L19" s="51">
        <f>(20.64*1000000)*0.000453592</f>
        <v>9362.1388800000004</v>
      </c>
      <c r="M19" s="51">
        <f>(15.65*1000000)*0.000453592</f>
        <v>7098.7147999999997</v>
      </c>
      <c r="N19" s="51">
        <f>(21.81*1000000)*0.000453592</f>
        <v>9892.8415199999999</v>
      </c>
      <c r="O19" s="51">
        <f>(6.96*1000000)*0.000453592</f>
        <v>3157.0003200000001</v>
      </c>
      <c r="P19" s="51">
        <f>(21.81*1000000)*0.000453592</f>
        <v>9892.8415199999999</v>
      </c>
      <c r="Q19" s="51">
        <f>(23.5*1000000)*0.000453592</f>
        <v>10659.412</v>
      </c>
      <c r="R19" s="51">
        <f>(16.28*1000000)*0.000453592</f>
        <v>7384.4777600000007</v>
      </c>
      <c r="S19" s="60">
        <f>(19.93*1000000)*0.000453592</f>
        <v>9040.0885600000001</v>
      </c>
      <c r="T19" s="51">
        <f>(16.28*1000000)*0.000453592</f>
        <v>7384.4777600000007</v>
      </c>
      <c r="U19" s="60">
        <v>9638.83</v>
      </c>
      <c r="V19" s="51">
        <v>11457.73</v>
      </c>
      <c r="W19" s="60">
        <v>8096.61</v>
      </c>
      <c r="X19" s="51">
        <v>13889</v>
      </c>
      <c r="Y19" s="51">
        <v>8654.5300000000007</v>
      </c>
      <c r="Z19" s="51">
        <v>7928.78</v>
      </c>
      <c r="AA19" s="51">
        <v>8014.97</v>
      </c>
      <c r="AB19" s="69"/>
    </row>
    <row r="20" spans="1:28">
      <c r="A20" s="63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1"/>
      <c r="T20" s="52"/>
      <c r="U20" s="61"/>
      <c r="V20" s="52"/>
      <c r="W20" s="61"/>
      <c r="X20" s="52"/>
      <c r="Y20" s="52"/>
      <c r="Z20" s="52"/>
      <c r="AA20" s="52"/>
      <c r="AB20" s="70"/>
    </row>
    <row r="21" spans="1:28" ht="27" customHeight="1" thickBot="1">
      <c r="A21" s="66" t="s">
        <v>18</v>
      </c>
      <c r="B21" s="64">
        <v>20292</v>
      </c>
      <c r="C21" s="51">
        <v>10705</v>
      </c>
      <c r="D21" s="64">
        <v>24628</v>
      </c>
      <c r="E21" s="51">
        <v>7379</v>
      </c>
      <c r="F21" s="64">
        <v>27531</v>
      </c>
      <c r="G21" s="51">
        <v>10759</v>
      </c>
      <c r="H21" s="64">
        <v>28245</v>
      </c>
      <c r="I21" s="51">
        <v>8707</v>
      </c>
      <c r="J21" s="64">
        <v>23552</v>
      </c>
      <c r="K21" s="51">
        <v>12238</v>
      </c>
      <c r="L21" s="51">
        <v>22980</v>
      </c>
      <c r="M21" s="51">
        <v>8865</v>
      </c>
      <c r="N21" s="51">
        <v>22570</v>
      </c>
      <c r="O21" s="51">
        <v>6913</v>
      </c>
      <c r="P21" s="54">
        <v>12865</v>
      </c>
      <c r="Q21" s="53">
        <v>13146</v>
      </c>
      <c r="R21" s="54">
        <v>14077</v>
      </c>
      <c r="S21" s="53">
        <v>10498</v>
      </c>
      <c r="T21" s="54">
        <v>17453</v>
      </c>
      <c r="U21" s="53">
        <v>7969</v>
      </c>
      <c r="V21" s="54">
        <v>17453</v>
      </c>
      <c r="W21" s="53">
        <v>9810</v>
      </c>
      <c r="X21" s="54">
        <v>7751</v>
      </c>
      <c r="Y21" s="55">
        <v>8660</v>
      </c>
      <c r="Z21" s="54">
        <v>7291</v>
      </c>
      <c r="AA21" s="55">
        <v>7245</v>
      </c>
      <c r="AB21" s="71" t="s">
        <v>25</v>
      </c>
    </row>
    <row r="22" spans="1:28" ht="27" customHeight="1">
      <c r="A22" s="67"/>
      <c r="B22" s="65"/>
      <c r="C22" s="52"/>
      <c r="D22" s="65"/>
      <c r="E22" s="52"/>
      <c r="F22" s="65"/>
      <c r="G22" s="52"/>
      <c r="H22" s="65"/>
      <c r="I22" s="52"/>
      <c r="J22" s="65"/>
      <c r="K22" s="52"/>
      <c r="L22" s="52"/>
      <c r="M22" s="52"/>
      <c r="N22" s="52"/>
      <c r="O22" s="52"/>
      <c r="P22" s="50"/>
      <c r="Q22" s="50"/>
      <c r="R22" s="50"/>
      <c r="S22" s="50"/>
      <c r="T22" s="50"/>
      <c r="U22" s="50"/>
      <c r="V22" s="50"/>
      <c r="W22" s="50"/>
      <c r="X22" s="50"/>
      <c r="Y22" s="56"/>
      <c r="Z22" s="50"/>
      <c r="AA22" s="56"/>
      <c r="AB22" s="71"/>
    </row>
    <row r="23" spans="1:28" s="13" customFormat="1" ht="15" thickBot="1">
      <c r="A23" s="31" t="s">
        <v>19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>
        <f>(2.86*1000000)*0.000453592</f>
        <v>1297.2731200000001</v>
      </c>
      <c r="M23" s="33">
        <v>8.6999999999999993</v>
      </c>
      <c r="N23" s="33">
        <f>(2.86*1000000)*0.000453592</f>
        <v>1297.2731200000001</v>
      </c>
      <c r="O23" s="33">
        <v>74.5</v>
      </c>
      <c r="P23" s="33">
        <f>(2.86*1000000)*0.000453592</f>
        <v>1297.2731200000001</v>
      </c>
      <c r="Q23" s="33">
        <v>73.7</v>
      </c>
      <c r="R23" s="33">
        <v>2300</v>
      </c>
      <c r="S23" s="33">
        <v>132.1</v>
      </c>
      <c r="T23" s="33">
        <v>2300</v>
      </c>
      <c r="U23" s="33">
        <v>106.14</v>
      </c>
      <c r="V23" s="33">
        <v>2300</v>
      </c>
      <c r="W23" s="33">
        <v>36.39</v>
      </c>
      <c r="X23" s="33">
        <v>2300</v>
      </c>
      <c r="Y23" s="33">
        <v>211.7</v>
      </c>
      <c r="Z23" s="33">
        <v>2300</v>
      </c>
      <c r="AA23" s="33">
        <v>180.4</v>
      </c>
      <c r="AB23" s="34"/>
    </row>
  </sheetData>
  <mergeCells count="97">
    <mergeCell ref="AB19:AB20"/>
    <mergeCell ref="AB21:AB22"/>
    <mergeCell ref="L21:L22"/>
    <mergeCell ref="N21:N22"/>
    <mergeCell ref="P21:P22"/>
    <mergeCell ref="R21:R22"/>
    <mergeCell ref="S19:S20"/>
    <mergeCell ref="T21:T22"/>
    <mergeCell ref="S11:S12"/>
    <mergeCell ref="AB11:AB12"/>
    <mergeCell ref="C21:C22"/>
    <mergeCell ref="E21:E22"/>
    <mergeCell ref="G21:G22"/>
    <mergeCell ref="I21:I22"/>
    <mergeCell ref="K21:K22"/>
    <mergeCell ref="M21:M22"/>
    <mergeCell ref="O21:O22"/>
    <mergeCell ref="Q21:Q22"/>
    <mergeCell ref="S21:S22"/>
    <mergeCell ref="J11:J12"/>
    <mergeCell ref="F19:F20"/>
    <mergeCell ref="G19:G20"/>
    <mergeCell ref="H19:H20"/>
    <mergeCell ref="L11:L12"/>
    <mergeCell ref="L1:M1"/>
    <mergeCell ref="N1:O1"/>
    <mergeCell ref="P1:Q1"/>
    <mergeCell ref="K11:K12"/>
    <mergeCell ref="M11:M12"/>
    <mergeCell ref="O11:O12"/>
    <mergeCell ref="Q11:Q12"/>
    <mergeCell ref="A11:A12"/>
    <mergeCell ref="C11:C12"/>
    <mergeCell ref="E11:E12"/>
    <mergeCell ref="G11:G12"/>
    <mergeCell ref="I11:I12"/>
    <mergeCell ref="H11:H12"/>
    <mergeCell ref="N11:N12"/>
    <mergeCell ref="P11:P12"/>
    <mergeCell ref="R11:R12"/>
    <mergeCell ref="K19:K20"/>
    <mergeCell ref="L19:L20"/>
    <mergeCell ref="M19:M20"/>
    <mergeCell ref="N19:N20"/>
    <mergeCell ref="O19:O20"/>
    <mergeCell ref="P19:P20"/>
    <mergeCell ref="Q19:Q20"/>
    <mergeCell ref="R19:R20"/>
    <mergeCell ref="H21:H22"/>
    <mergeCell ref="J21:J22"/>
    <mergeCell ref="B1:C1"/>
    <mergeCell ref="D1:E1"/>
    <mergeCell ref="F1:G1"/>
    <mergeCell ref="B11:B12"/>
    <mergeCell ref="D11:D12"/>
    <mergeCell ref="F11:F12"/>
    <mergeCell ref="Z1:AA1"/>
    <mergeCell ref="Z11:Z12"/>
    <mergeCell ref="A19:A20"/>
    <mergeCell ref="F21:F22"/>
    <mergeCell ref="D21:D22"/>
    <mergeCell ref="B21:B22"/>
    <mergeCell ref="A21:A22"/>
    <mergeCell ref="B19:B20"/>
    <mergeCell ref="C19:C20"/>
    <mergeCell ref="D19:D20"/>
    <mergeCell ref="E19:E20"/>
    <mergeCell ref="R1:S1"/>
    <mergeCell ref="H1:I1"/>
    <mergeCell ref="J1:K1"/>
    <mergeCell ref="I19:I20"/>
    <mergeCell ref="J19:J20"/>
    <mergeCell ref="X1:Y1"/>
    <mergeCell ref="X11:X12"/>
    <mergeCell ref="Y11:Y12"/>
    <mergeCell ref="X19:X20"/>
    <mergeCell ref="Y19:Y20"/>
    <mergeCell ref="V1:W1"/>
    <mergeCell ref="V11:V12"/>
    <mergeCell ref="W11:W12"/>
    <mergeCell ref="V19:V20"/>
    <mergeCell ref="W19:W20"/>
    <mergeCell ref="T1:U1"/>
    <mergeCell ref="T11:T12"/>
    <mergeCell ref="U11:U12"/>
    <mergeCell ref="T19:T20"/>
    <mergeCell ref="U19:U20"/>
    <mergeCell ref="AA11:AA12"/>
    <mergeCell ref="Z19:Z20"/>
    <mergeCell ref="AA19:AA20"/>
    <mergeCell ref="U21:U22"/>
    <mergeCell ref="V21:V22"/>
    <mergeCell ref="W21:W22"/>
    <mergeCell ref="X21:X22"/>
    <mergeCell ref="Y21:Y22"/>
    <mergeCell ref="Z21:Z22"/>
    <mergeCell ref="AA21:AA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8a74d-2a10-4f39-8652-5d70f27fbd04" xsi:nil="true"/>
    <lcf76f155ced4ddcb4097134ff3c332f xmlns="52a5111d-dddf-4872-8e35-e0441c7800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FF0983EB3C041AF1AEA4B1776CF3D" ma:contentTypeVersion="22" ma:contentTypeDescription="Create a new document." ma:contentTypeScope="" ma:versionID="d32890061ceeb92ac6268804de5a04fa">
  <xsd:schema xmlns:xsd="http://www.w3.org/2001/XMLSchema" xmlns:xs="http://www.w3.org/2001/XMLSchema" xmlns:p="http://schemas.microsoft.com/office/2006/metadata/properties" xmlns:ns2="0828a74d-2a10-4f39-8652-5d70f27fbd04" xmlns:ns3="52a5111d-dddf-4872-8e35-e0441c780081" targetNamespace="http://schemas.microsoft.com/office/2006/metadata/properties" ma:root="true" ma:fieldsID="5389e9be61bc924053648a5f0d21879a" ns2:_="" ns3:_="">
    <xsd:import namespace="0828a74d-2a10-4f39-8652-5d70f27fbd04"/>
    <xsd:import namespace="52a5111d-dddf-4872-8e35-e0441c7800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8a74d-2a10-4f39-8652-5d70f27fbd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6" nillable="true" ma:displayName="Taxonomy Catch All Column" ma:hidden="true" ma:list="{581c6589-e5d7-45f6-80b0-9dee2715bdd8}" ma:internalName="TaxCatchAll" ma:showField="CatchAllData" ma:web="0828a74d-2a10-4f39-8652-5d70f27fbd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5111d-dddf-4872-8e35-e0441c780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d769d857-b826-47db-9965-77d7a5ccc8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D4F6EF-82E5-49BC-AA19-CDCD9BB9760B}">
  <ds:schemaRefs>
    <ds:schemaRef ds:uri="http://schemas.microsoft.com/office/2006/metadata/properties"/>
    <ds:schemaRef ds:uri="http://schemas.microsoft.com/office/infopath/2007/PartnerControls"/>
    <ds:schemaRef ds:uri="0828a74d-2a10-4f39-8652-5d70f27fbd04"/>
    <ds:schemaRef ds:uri="52a5111d-dddf-4872-8e35-e0441c780081"/>
  </ds:schemaRefs>
</ds:datastoreItem>
</file>

<file path=customXml/itemProps2.xml><?xml version="1.0" encoding="utf-8"?>
<ds:datastoreItem xmlns:ds="http://schemas.openxmlformats.org/officeDocument/2006/customXml" ds:itemID="{67D4312F-85EB-4809-9FC2-0A00DB09A5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8a74d-2a10-4f39-8652-5d70f27fbd04"/>
    <ds:schemaRef ds:uri="52a5111d-dddf-4872-8e35-e0441c780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9A4291-A5FA-41C6-97E5-6A144A24C6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MAFMC ABC_ACL_catch (2023 data)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Muffley, Brandon</dc:creator>
  <cp:keywords/>
  <dc:description/>
  <cp:lastModifiedBy>Brandon Beltz</cp:lastModifiedBy>
  <cp:revision/>
  <dcterms:created xsi:type="dcterms:W3CDTF">2021-11-15T14:46:27Z</dcterms:created>
  <dcterms:modified xsi:type="dcterms:W3CDTF">2025-11-12T16:34:25Z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0x010100CE0FF0983EB3C041AF1AEA4B1776CF3D</vt:lpwstr>
  </property>
  <property fmtid="{D5CDD505-2E9C-101B-9397-08002B2CF9AE}" pid="3" name="MediaServiceImageTags">
    <vt:lpwstr/>
  </property>
  <property fmtid="{D5CDD505-2E9C-101B-9397-08002B2CF9AE}" pid="4" name="MSIP_Label_35c4c7af-0267-4fe6-84e9-99bc64cef94b_Enabled">
    <vt:lpwstr>true</vt:lpwstr>
  </property>
  <property fmtid="{D5CDD505-2E9C-101B-9397-08002B2CF9AE}" pid="5" name="MSIP_Label_35c4c7af-0267-4fe6-84e9-99bc64cef94b_SetDate">
    <vt:lpwstr>2025-09-05T17:42:58Z</vt:lpwstr>
  </property>
  <property fmtid="{D5CDD505-2E9C-101B-9397-08002B2CF9AE}" pid="6" name="MSIP_Label_35c4c7af-0267-4fe6-84e9-99bc64cef94b_Method">
    <vt:lpwstr>Standard</vt:lpwstr>
  </property>
  <property fmtid="{D5CDD505-2E9C-101B-9397-08002B2CF9AE}" pid="7" name="MSIP_Label_35c4c7af-0267-4fe6-84e9-99bc64cef94b_Name">
    <vt:lpwstr>defa4170-0d19-0005-0004-bc88714345d2</vt:lpwstr>
  </property>
  <property fmtid="{D5CDD505-2E9C-101B-9397-08002B2CF9AE}" pid="8" name="MSIP_Label_35c4c7af-0267-4fe6-84e9-99bc64cef94b_SiteId">
    <vt:lpwstr>d661b91b-55fd-4d3f-bd7e-4742fe67c0f5</vt:lpwstr>
  </property>
  <property fmtid="{D5CDD505-2E9C-101B-9397-08002B2CF9AE}" pid="9" name="MSIP_Label_35c4c7af-0267-4fe6-84e9-99bc64cef94b_ActionId">
    <vt:lpwstr>34498c80-2ca3-4ccf-a291-5b2511bd0b96</vt:lpwstr>
  </property>
  <property fmtid="{D5CDD505-2E9C-101B-9397-08002B2CF9AE}" pid="10" name="MSIP_Label_35c4c7af-0267-4fe6-84e9-99bc64cef94b_ContentBits">
    <vt:lpwstr>0</vt:lpwstr>
  </property>
  <property fmtid="{D5CDD505-2E9C-101B-9397-08002B2CF9AE}" pid="11" name="MSIP_Label_35c4c7af-0267-4fe6-84e9-99bc64cef94b_Tag">
    <vt:lpwstr>10, 3, 0, 1</vt:lpwstr>
  </property>
</Properties>
</file>